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autoCompressPictures="0"/>
  <xr:revisionPtr revIDLastSave="0" documentId="8_{336EC626-98B0-4C1C-B2C0-429EF7E3C98D}" xr6:coauthVersionLast="47" xr6:coauthVersionMax="47" xr10:uidLastSave="{00000000-0000-0000-0000-000000000000}"/>
  <bookViews>
    <workbookView xWindow="-120" yWindow="-120" windowWidth="29040" windowHeight="15720" tabRatio="591" activeTab="1"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ExtraCredit">'1. Add'!$F$9:$G$14</definedName>
    <definedName name="Fruit">'1. Add'!$C$3:$D$7</definedName>
    <definedName name="Items">'1. Add'!$C$9:$D$14</definedName>
    <definedName name="Meat">'1. Add'!$F$3:$G$7</definedName>
    <definedName name="MoreFruit">'1. Add'!$C$36:$D$41</definedName>
    <definedName name="MoreItem">'1. Add'!$C$46:$D$50</definedName>
    <definedName name="MoreItems">'1. Add'!$F$46:$G$50</definedName>
    <definedName name="SUMExtraCredit">'1. Add'!$F$9:$G$14</definedName>
    <definedName name="SUMIF">'1. Add'!$C$71:$D$76</definedName>
    <definedName name="SUMIFExtraCredit">'1. Add'!$F$71:$G$76</definedName>
    <definedName name="Total">'1. Add'!$E$52:$E$53</definedName>
  </definedNames>
  <calcPr calcId="191029"/>
  <pivotCaches>
    <pivotCache cacheId="19"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V11" i="21" l="1"/>
  <c r="V10" i="21"/>
  <c r="U17" i="21"/>
  <c r="U16" i="21"/>
  <c r="U15" i="21"/>
  <c r="Q18" i="21"/>
  <c r="Q17" i="21"/>
  <c r="Q16" i="21"/>
  <c r="Q15" i="21"/>
  <c r="M18" i="21"/>
  <c r="M17" i="21"/>
  <c r="M16" i="21"/>
  <c r="M15" i="21"/>
  <c r="T8" i="21"/>
  <c r="T7" i="21"/>
  <c r="T6" i="21"/>
  <c r="T5" i="21"/>
  <c r="P8" i="21"/>
  <c r="P7" i="21"/>
  <c r="P6" i="21"/>
  <c r="P5" i="21"/>
  <c r="L10" i="21"/>
  <c r="K10" i="21"/>
  <c r="J10" i="21"/>
  <c r="G15" i="21"/>
  <c r="D15" i="21"/>
  <c r="D73" i="34"/>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1" i="21" l="1"/>
  <c r="F56" i="24" l="1"/>
  <c r="E53" i="21"/>
  <c r="E56" i="24" l="1"/>
  <c r="H56" i="24"/>
  <c r="G56" i="24" l="1"/>
  <c r="G77" i="21" l="1"/>
  <c r="E12" i="23" l="1"/>
  <c r="G12" i="23" s="1"/>
  <c r="E13" i="23"/>
  <c r="G13" i="23" s="1"/>
  <c r="E14" i="23"/>
  <c r="G14" i="23" s="1"/>
  <c r="E11" i="23"/>
  <c r="G11" i="23" s="1"/>
  <c r="C15" i="23"/>
  <c r="G4" i="23"/>
  <c r="D77" i="21" l="1"/>
</calcChain>
</file>

<file path=xl/sharedStrings.xml><?xml version="1.0" encoding="utf-8"?>
<sst xmlns="http://schemas.openxmlformats.org/spreadsheetml/2006/main" count="713" uniqueCount="400">
  <si>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</si>
  <si>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</si>
  <si>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</si>
  <si>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</si>
  <si>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</si>
  <si>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</si>
  <si>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</si>
  <si>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</si>
  <si>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</si>
  <si>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</si>
  <si>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</si>
  <si>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</si>
  <si>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</si>
  <si>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</si>
  <si>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</si>
  <si>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</si>
  <si>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</si>
  <si>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</si>
  <si>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</si>
  <si>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</si>
  <si>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</si>
  <si>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</si>
  <si>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</si>
  <si>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</si>
  <si>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</si>
  <si>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</si>
  <si>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</si>
  <si>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</si>
  <si>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</si>
  <si>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</si>
  <si>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</si>
  <si>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</si>
  <si>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</si>
  <si>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</si>
  <si>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</si>
  <si>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</si>
  <si>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</si>
  <si>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</si>
  <si>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</si>
  <si>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</si>
  <si>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</si>
  <si>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</si>
  <si>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</si>
  <si>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</si>
  <si>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</si>
  <si>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</si>
  <si>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</si>
  <si>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</si>
  <si>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</si>
  <si>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</si>
  <si>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</si>
  <si>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</si>
  <si>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</si>
  <si>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</si>
  <si>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</si>
  <si>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</si>
  <si>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</si>
  <si>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</si>
  <si>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</si>
  <si>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</si>
  <si>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</si>
  <si>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</si>
  <si>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</si>
  <si>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</si>
  <si>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</si>
  <si>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</si>
  <si>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</si>
  <si>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</si>
  <si>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</si>
  <si>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</si>
  <si>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</si>
  <si>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</si>
  <si>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</si>
  <si>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</si>
  <si>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</si>
  <si>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</si>
  <si>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</si>
  <si>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</si>
  <si>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</si>
  <si>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</si>
  <si>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</si>
  <si>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</si>
  <si>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</si>
  <si>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</si>
  <si>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</si>
  <si>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</si>
  <si>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</si>
  <si>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</si>
  <si>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</si>
  <si>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</si>
  <si>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</si>
  <si>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</si>
  <si>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</si>
  <si>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</si>
  <si>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</si>
  <si>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</si>
  <si>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</si>
  <si>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</si>
  <si>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</si>
  <si>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</si>
  <si>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</si>
  <si>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</si>
  <si>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</si>
  <si>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</si>
  <si>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</si>
  <si>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</si>
  <si>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</si>
  <si>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</si>
  <si>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</si>
  <si>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</si>
  <si>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</si>
  <si>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</si>
  <si>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</si>
  <si>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</si>
  <si>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</si>
  <si>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</si>
  <si>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</si>
  <si>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</si>
  <si>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</si>
  <si>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</si>
  <si>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</si>
  <si>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</si>
  <si>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</si>
  <si>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</si>
  <si>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</si>
  <si>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</si>
  <si>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</si>
  <si>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</si>
  <si>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</si>
  <si>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</si>
  <si>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</si>
  <si>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</si>
  <si>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</si>
  <si>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</si>
  <si>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</si>
  <si>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</si>
  <si>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</si>
  <si>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</si>
  <si>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</si>
  <si>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</si>
  <si>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</si>
  <si>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</si>
  <si>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</si>
  <si>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</si>
  <si>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</si>
  <si>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</si>
  <si>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</si>
  <si>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</si>
  <si>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</si>
  <si>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</si>
  <si>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</si>
  <si>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</si>
  <si>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</si>
  <si>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</si>
  <si>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</si>
  <si>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</si>
  <si>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</si>
  <si>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</si>
  <si>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</si>
  <si>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</si>
  <si>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</si>
  <si>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</si>
  <si>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</si>
  <si>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</si>
  <si>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</si>
  <si>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</si>
  <si>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</si>
  <si>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</si>
  <si>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</si>
  <si>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</si>
  <si>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</si>
  <si>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</si>
  <si>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</si>
  <si>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</si>
  <si>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</si>
  <si>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</si>
  <si>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</si>
  <si>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</si>
  <si>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</si>
  <si>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</si>
  <si>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</si>
  <si>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</si>
  <si>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</si>
  <si>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</si>
  <si>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</si>
  <si>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</si>
  <si>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</si>
  <si>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</si>
  <si>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</si>
  <si>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</si>
  <si>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</si>
  <si>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</si>
  <si>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</si>
  <si>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</si>
  <si>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</si>
  <si>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</si>
  <si>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</si>
  <si>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</si>
  <si>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</si>
  <si>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</si>
  <si>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</si>
  <si>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</si>
  <si>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</si>
  <si>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</si>
  <si>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</si>
  <si>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</si>
  <si>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</si>
  <si>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</si>
  <si>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</si>
  <si>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</si>
  <si>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</si>
  <si>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</si>
  <si>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</si>
  <si>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</si>
  <si>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</si>
  <si>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</si>
  <si>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</si>
  <si>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</si>
  <si>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</si>
  <si>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</si>
  <si>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</si>
  <si>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</si>
  <si>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</si>
  <si>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</si>
  <si>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</si>
  <si>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</si>
  <si>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</si>
  <si>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</si>
  <si>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</si>
  <si>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</si>
  <si>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</si>
  <si>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</si>
  <si>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</si>
  <si>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</si>
  <si>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</si>
  <si>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</si>
  <si>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</si>
  <si>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</si>
  <si>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</si>
  <si>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</si>
  <si>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</si>
  <si>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</si>
  <si>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</si>
  <si>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</si>
  <si>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</si>
  <si>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</si>
  <si>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</si>
  <si>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</si>
  <si>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</si>
  <si>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</si>
  <si>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</si>
  <si>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</si>
  <si>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</si>
  <si>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</si>
  <si>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</si>
  <si>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</si>
  <si>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</si>
  <si>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</si>
  <si>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</si>
  <si>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</si>
  <si>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</si>
  <si>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</si>
  <si>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</si>
  <si>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</si>
  <si>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</si>
  <si>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</si>
  <si>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</si>
  <si>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</si>
  <si>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</si>
  <si>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</si>
  <si>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</si>
  <si>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</si>
  <si>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</si>
  <si>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</si>
  <si>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</si>
  <si>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</si>
  <si>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</si>
  <si>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</si>
  <si>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</si>
  <si>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</si>
  <si>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</si>
  <si>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</si>
  <si>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</si>
  <si>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</si>
  <si>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</si>
  <si>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</si>
  <si>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</si>
  <si>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</si>
  <si>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</si>
  <si>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</si>
  <si>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</si>
  <si>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</si>
  <si>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</si>
  <si>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</si>
  <si>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</si>
  <si>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</si>
  <si>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</si>
  <si>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</si>
  <si>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</si>
  <si>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</si>
  <si>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</si>
  <si>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</si>
  <si>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</si>
  <si>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</si>
  <si>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</si>
  <si>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</si>
  <si>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</si>
  <si>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</si>
  <si>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</si>
  <si>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</si>
  <si>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</si>
  <si>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</si>
  <si>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</si>
  <si>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</si>
  <si>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</si>
  <si>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</si>
  <si>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</si>
  <si>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</si>
  <si>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</si>
  <si>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</si>
  <si>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</si>
  <si>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</si>
  <si>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</si>
  <si>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</si>
  <si>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</si>
  <si>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</si>
  <si>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</si>
  <si>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</si>
  <si>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</si>
  <si>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</si>
  <si>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</si>
  <si>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</si>
  <si>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</si>
  <si>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</si>
  <si>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</si>
  <si>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</si>
  <si>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</si>
  <si>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</si>
  <si>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</si>
  <si>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</si>
  <si>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</si>
  <si>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</si>
  <si>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</si>
  <si>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</si>
  <si>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</si>
  <si>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</si>
  <si>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</si>
  <si>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</si>
  <si>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</si>
  <si>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</si>
  <si>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</si>
  <si>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</si>
  <si>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</si>
  <si>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</si>
  <si>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</si>
  <si>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</si>
  <si>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</si>
  <si>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</si>
  <si>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</si>
  <si>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</si>
  <si>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</si>
  <si>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</si>
  <si>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</si>
  <si>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</si>
  <si>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</si>
  <si>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</si>
  <si>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</si>
  <si>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</si>
  <si>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</si>
  <si>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</si>
  <si>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</si>
  <si>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</si>
  <si>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</si>
  <si>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</si>
  <si>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</si>
  <si>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</si>
  <si>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</si>
  <si>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</si>
  <si>
    <t>A</t>
  </si>
  <si>
    <t>B</t>
  </si>
  <si>
    <t>Status</t>
  </si>
  <si>
    <t>Ali</t>
  </si>
  <si>
    <t>Present</t>
  </si>
  <si>
    <t>Sara</t>
  </si>
  <si>
    <t>Ahmed</t>
  </si>
  <si>
    <t>(Blank)</t>
  </si>
  <si>
    <t>Presen</t>
  </si>
  <si>
    <t>Fatima</t>
  </si>
  <si>
    <t>present</t>
  </si>
  <si>
    <t>Name</t>
  </si>
  <si>
    <t>Marks</t>
  </si>
  <si>
    <t>Result</t>
  </si>
  <si>
    <t>A (Math)</t>
  </si>
  <si>
    <t>B (Science)</t>
  </si>
  <si>
    <t>Aysha</t>
  </si>
  <si>
    <t>Mehek</t>
  </si>
  <si>
    <t>John</t>
  </si>
  <si>
    <t>Science</t>
  </si>
  <si>
    <t>Mango</t>
  </si>
  <si>
    <t>Grapes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</si>
</sst>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2" formatCode="_(&quot;$&quot;* #,##0_);_(&quot;$&quot;* \(#,##0\);_(&quot;$&quot;* &quot;-&quot;_);_(@_)"/>
    <numFmt numFmtId="164" formatCode="yyyy;@"/>
    <numFmt numFmtId="165" formatCode="_(&quot;$&quot;* #,##0_);_(&quot;$&quot;* \(#,##0\);_(&quot;$&quot;* &quot;-&quot;??_);_(@_)"/>
  </numFmts>
  <fonts count="17">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i/>
      <sz val="11"/>
      <color theme="1"/>
      <name val="Calibri"/>
      <family val="2"/>
      <scheme val="minor"/>
    </font>
    <font>
      <sz val="10"/>
      <color theme="1"/>
      <name val="Arial Unicode MS"/>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5" fontId="1" fillId="0" borderId="0" applyFont="0" applyFill="0" applyBorder="0" applyAlignment="0" applyProtection="0"/>
    <xf numFmtId="0" fontId="6" fillId="0" borderId="0"/>
    <xf numFmtId="0" fontId="10" fillId="0" borderId="0" applyFill="0" applyBorder="0">
      <alignment wrapText="1"/>
    </xf>
    <xf numFmtId="42"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cellStyleXfs>
  <cellXfs count="57">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Border="1"/>
    <xf numFmtId="0" fontId="0" fillId="0" borderId="9" xfId="0" applyBorder="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11" fillId="0" borderId="0" xfId="0" applyFont="1"/>
    <xf numFmtId="0" fontId="12" fillId="0" borderId="0" xfId="0" applyFont="1"/>
    <xf numFmtId="0" fontId="12" fillId="0" borderId="0" xfId="0" applyFont="1" applyAlignment="1">
      <alignment horizontal="left"/>
    </xf>
    <xf numFmtId="0" fontId="13" fillId="6" borderId="0" xfId="11">
      <alignment horizontal="left" indent="1"/>
    </xf>
    <xf numFmtId="0" fontId="14" fillId="6" borderId="0" xfId="12">
      <alignment horizontal="left" wrapText="1" indent="4"/>
    </xf>
    <xf numFmtId="0" fontId="6"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6" fontId="0" fillId="0" borderId="0" xfId="0" applyNumberFormat="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Border="1"/>
    <xf numFmtId="0" fontId="0" fillId="0" borderId="6" xfId="0" applyBorder="1"/>
    <xf numFmtId="0" fontId="0" fillId="0" borderId="7" xfId="18" applyFont="1" applyFill="1" applyBorder="1"/>
    <xf numFmtId="0" fontId="6" fillId="2" borderId="0" xfId="14" applyBorder="1"/>
    <xf numFmtId="0" fontId="6" fillId="0" borderId="0" xfId="8" applyAlignment="1">
      <alignment wrapText="1"/>
    </xf>
    <xf numFmtId="0" fontId="10" fillId="6" borderId="0" xfId="13">
      <alignment horizontal="left" wrapText="1" indent="4"/>
    </xf>
    <xf numFmtId="5" fontId="1" fillId="3" borderId="0" xfId="7" applyFill="1"/>
    <xf numFmtId="0" fontId="7" fillId="0" borderId="0" xfId="0" applyFont="1" applyAlignment="1">
      <alignment horizontal="center" vertical="center" wrapText="1"/>
    </xf>
    <xf numFmtId="0" fontId="0" fillId="0" borderId="0" xfId="0" applyAlignment="1">
      <alignment vertical="center" wrapText="1"/>
    </xf>
    <xf numFmtId="0" fontId="15" fillId="0" borderId="0" xfId="0" applyFont="1" applyAlignment="1">
      <alignment vertical="center" wrapText="1"/>
    </xf>
    <xf numFmtId="0" fontId="7" fillId="0" borderId="0" xfId="0" applyFont="1" applyAlignment="1">
      <alignment horizontal="right" vertical="center" wrapText="1"/>
    </xf>
    <xf numFmtId="0" fontId="0" fillId="0" borderId="0" xfId="0" applyAlignment="1">
      <alignment horizontal="right" vertical="center" wrapText="1"/>
    </xf>
    <xf numFmtId="0" fontId="16" fillId="0" borderId="0" xfId="0" applyFont="1" applyAlignment="1">
      <alignment vertical="center" wrapText="1"/>
    </xf>
  </cellXfs>
  <cellStyles count="25">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1">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quot;$&quot;#,##0_);\(&quot;$&quot;#,##0\)"/>
    </dxf>
    <dxf>
      <alignment horizontal="general" vertical="bottom" textRotation="0" wrapText="0" indent="0" justifyLastLine="0" shrinkToFit="0" readingOrder="0"/>
    </dxf>
    <dxf>
      <numFmt numFmtId="9" formatCode="&quot;$&quot;#,##0_);\(&quot;$&quot;#,##0\)"/>
    </dxf>
    <dxf>
      <numFmt numFmtId="9" formatCode="&quot;$&quot;#,##0_);\(&quo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0"/>
      <tableStyleElement type="firstRowStripe" dxfId="9"/>
    </tableStyle>
    <tableStyle name="PivotTable Style 1" table="0" count="2" xr9:uid="{00000000-0011-0000-FFFF-FFFF01000000}">
      <tableStyleElement type="headerRow" dxfId="8"/>
      <tableStyleElement type="totalRow" dxfId="7"/>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2021</c:v>
                </c:pt>
                <c:pt idx="1">
                  <c:v>2022</c:v>
                </c:pt>
                <c:pt idx="2">
                  <c:v>2023</c:v>
                </c:pt>
                <c:pt idx="3">
                  <c:v>2024</c:v>
                </c:pt>
                <c:pt idx="4">
                  <c:v>2025</c:v>
                </c:pt>
                <c:pt idx="5">
                  <c:v>2026</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2021</c:v>
                </c:pt>
                <c:pt idx="1">
                  <c:v>2022</c:v>
                </c:pt>
                <c:pt idx="2">
                  <c:v>2023</c:v>
                </c:pt>
                <c:pt idx="3">
                  <c:v>2024</c:v>
                </c:pt>
                <c:pt idx="4">
                  <c:v>2025</c:v>
                </c:pt>
                <c:pt idx="5">
                  <c:v>2026</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2021</c:v>
                </c:pt>
                <c:pt idx="1">
                  <c:v>2022</c:v>
                </c:pt>
                <c:pt idx="2">
                  <c:v>2023</c:v>
                </c:pt>
                <c:pt idx="3">
                  <c:v>2024</c:v>
                </c:pt>
                <c:pt idx="4">
                  <c:v>2025</c:v>
                </c:pt>
                <c:pt idx="5">
                  <c:v>2026</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9.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30.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go.microsoft.com/fwlink/?linkid=844735" TargetMode="External"/><Relationship Id="rId4" Type="http://schemas.openxmlformats.org/officeDocument/2006/relationships/image" Target="../media/image3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go.microsoft.com/fwlink/?linkid=844738"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8.svg"/><Relationship Id="rId3" Type="http://schemas.openxmlformats.org/officeDocument/2006/relationships/hyperlink" Target="http://go.microsoft.com/fwlink/?LinkId=844969" TargetMode="External"/><Relationship Id="rId7" Type="http://schemas.openxmlformats.org/officeDocument/2006/relationships/image" Target="../media/image37.png"/><Relationship Id="rId2" Type="http://schemas.openxmlformats.org/officeDocument/2006/relationships/hyperlink" Target="http://go.microsoft.com/fwlink/?LinkId=846285" TargetMode="External"/><Relationship Id="rId1" Type="http://schemas.openxmlformats.org/officeDocument/2006/relationships/image" Target="../media/image34.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hyperlink" Target="http://go.microsoft.com/fwlink/?LinkId=846286"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39</xdr:row>
      <xdr:rowOff>89000</xdr:rowOff>
    </xdr:from>
    <xdr:to>
      <xdr:col>6</xdr:col>
      <xdr:colOff>505223</xdr:colOff>
      <xdr:row>40</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83</xdr:row>
      <xdr:rowOff>171450</xdr:rowOff>
    </xdr:from>
    <xdr:to>
      <xdr:col>1</xdr:col>
      <xdr:colOff>5172075</xdr:colOff>
      <xdr:row>104</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554450"/>
          <a:ext cx="5695950"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76</xdr:row>
      <xdr:rowOff>185865</xdr:rowOff>
    </xdr:from>
    <xdr:to>
      <xdr:col>7</xdr:col>
      <xdr:colOff>457200</xdr:colOff>
      <xdr:row>86</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477000" y="15235365"/>
          <a:ext cx="330517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63</xdr:row>
      <xdr:rowOff>181413</xdr:rowOff>
    </xdr:from>
    <xdr:to>
      <xdr:col>1</xdr:col>
      <xdr:colOff>5196097</xdr:colOff>
      <xdr:row>83</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754413"/>
          <a:ext cx="5695950"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52</xdr:row>
      <xdr:rowOff>53969</xdr:rowOff>
    </xdr:from>
    <xdr:to>
      <xdr:col>8</xdr:col>
      <xdr:colOff>133350</xdr:colOff>
      <xdr:row>61</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486525" y="10531469"/>
          <a:ext cx="35623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35</xdr:row>
      <xdr:rowOff>82549</xdr:rowOff>
    </xdr:from>
    <xdr:to>
      <xdr:col>8</xdr:col>
      <xdr:colOff>161927</xdr:colOff>
      <xdr:row>42</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532170" y="7321549"/>
          <a:ext cx="254528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24</xdr:row>
      <xdr:rowOff>171888</xdr:rowOff>
    </xdr:from>
    <xdr:to>
      <xdr:col>1</xdr:col>
      <xdr:colOff>5194509</xdr:colOff>
      <xdr:row>62</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315388"/>
          <a:ext cx="5695950"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371475</xdr:colOff>
      <xdr:row>10</xdr:row>
      <xdr:rowOff>9524</xdr:rowOff>
    </xdr:from>
    <xdr:to>
      <xdr:col>10</xdr:col>
      <xdr:colOff>152400</xdr:colOff>
      <xdr:row>16</xdr:row>
      <xdr:rowOff>119129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105900" y="2486024"/>
          <a:ext cx="2143125" cy="1252605"/>
          <a:chOff x="9067800" y="3895724"/>
          <a:chExt cx="2143125" cy="1252605"/>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40528" y="4713572"/>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695950"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695950"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304420" y="1143000"/>
          <a:ext cx="2049380" cy="1769645"/>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695950"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705600" y="9378929"/>
          <a:ext cx="34825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695950"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695950"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403975" y="12300756"/>
          <a:ext cx="37687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420099" y="2476500"/>
          <a:ext cx="1657351" cy="1228724"/>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76975" y="11239500"/>
          <a:ext cx="9337225"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695084"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695950"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695950"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477250" y="8172449"/>
          <a:ext cx="3314700" cy="1704976"/>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695950"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695950"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381749" y="6105525"/>
          <a:ext cx="49673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286499" y="7362825"/>
          <a:ext cx="288136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695950"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695950"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403974" y="9925049"/>
          <a:ext cx="40925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448425" y="13173075"/>
          <a:ext cx="37337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695950"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43450"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448675" y="2047875"/>
          <a:ext cx="158115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372225" y="3238499"/>
          <a:ext cx="3800475" cy="156210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695950"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695950"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9658350" y="6210299"/>
          <a:ext cx="21431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58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695950"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5238051</xdr:colOff>
      <xdr:row>74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695950"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695950"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695950"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8820150" y="11515725"/>
          <a:ext cx="2162175"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648575" y="3543299"/>
          <a:ext cx="255269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6800850" y="8486775"/>
          <a:ext cx="400050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695950"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695950"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695950"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695950"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591550" y="6951739"/>
          <a:ext cx="244792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572500" y="847725"/>
          <a:ext cx="263842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695950"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695950"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695950"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695950"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695950"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099696" y="3155155"/>
          <a:ext cx="3177779"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096125" y="3209925"/>
          <a:ext cx="27622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695950"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695950"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315200" y="10420350"/>
          <a:ext cx="5443586"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695950"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48375" y="6181725"/>
          <a:ext cx="5419725"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695950"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1658600" y="13392149"/>
          <a:ext cx="14478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096783" y="14668500"/>
          <a:ext cx="29997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695950"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695950"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695950"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648450" y="2451566"/>
          <a:ext cx="1404987"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30941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2"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3"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4"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24.540317129628" createdVersion="6" refreshedVersion="8"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6-05-25T00:00:00" maxDate="2026-07-22T00:00:00"/>
    </cacheField>
    <cacheField name="Salesperson" numFmtId="0">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5-25T00:00:00"/>
    <s v="Anne"/>
    <x v="0"/>
    <n v="1400"/>
  </r>
  <r>
    <d v="2026-05-30T00:00:00"/>
    <s v="Mark"/>
    <x v="1"/>
    <n v="1010"/>
  </r>
  <r>
    <d v="2026-06-16T00:00:00"/>
    <s v="Anne"/>
    <x v="0"/>
    <n v="750"/>
  </r>
  <r>
    <d v="2026-06-20T00:00:00"/>
    <s v="Mark"/>
    <x v="2"/>
    <n v="510"/>
  </r>
  <r>
    <d v="2026-07-10T00:00:00"/>
    <s v="Mariya"/>
    <x v="2"/>
    <n v="1600"/>
  </r>
  <r>
    <d v="2026-07-21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numFmtId="165" subtotalTop="0" showAll="0"/>
  </pivotFields>
  <rowFields count="1">
    <field x="2"/>
  </rowFields>
  <rowItems count="4">
    <i>
      <x/>
    </i>
    <i>
      <x v="1"/>
    </i>
    <i>
      <x v="2"/>
    </i>
    <i t="grand">
      <x/>
    </i>
  </rowItems>
  <colItems count="1">
    <i/>
  </colItems>
  <dataFields count="1">
    <dataField name="Sum of Amount" fld="3" baseField="2" baseItem="1" numFmtId="5"/>
  </dataFields>
  <formats count="1">
    <format dxfId="3">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6"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1" headerRowCellStyle="Heading 3">
  <autoFilter ref="C53:E61"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5"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4"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2"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1" dataCellStyle="Date"/>
    <tableColumn id="2" xr3:uid="{00000000-0010-0000-0A00-000002000000}" name="Salesperson"/>
    <tableColumn id="3" xr3:uid="{00000000-0010-0000-0A00-000003000000}" name="Product"/>
    <tableColumn id="4" xr3:uid="{00000000-0010-0000-0A00-000004000000}" name="Amount" dataDxfId="0"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24BEB74-E1B8-4F92-BF32-0F431B4273AA}">
  <we:reference id="wa200005502" version="1.0.0.13" store="en-US" storeType="OMEX"/>
  <we:alternateReferences>
    <we:reference id="wa200005502" version="1.0.0.13" store="wa200005502" storeType="OMEX"/>
  </we:alternateReferences>
  <we:properties>
    <we:property name="docId" value="&quot;ysr8MzKsHz1Nk-Ptq_oH8&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9.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44744" TargetMode="External"/><Relationship Id="rId7" Type="http://schemas.openxmlformats.org/officeDocument/2006/relationships/table" Target="../tables/table11.xml"/><Relationship Id="rId2" Type="http://schemas.openxmlformats.org/officeDocument/2006/relationships/hyperlink" Target="https://go.microsoft.com/fwlink/?linkid=844749"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workbookViewId="0"/>
  </sheetViews>
  <sheetFormatPr defaultColWidth="11.140625" defaultRowHeight="20.25" customHeight="1"/>
  <cols>
    <col min="1" max="1" width="129.7109375" customWidth="1"/>
    <col min="2" max="2" width="3.5703125" customWidth="1"/>
  </cols>
  <sheetData>
    <row r="1" spans="1:1" ht="15" customHeight="1">
      <c r="A1" s="17" t="s">
        <v>329</v>
      </c>
    </row>
    <row r="2" spans="1:1" ht="102">
      <c r="A2" s="25" t="s">
        <v>63</v>
      </c>
    </row>
    <row r="3" spans="1:1" ht="45">
      <c r="A3" s="26" t="s">
        <v>103</v>
      </c>
    </row>
    <row r="4" spans="1:1" ht="264" customHeight="1">
      <c r="A4" s="49" t="s">
        <v>347</v>
      </c>
    </row>
    <row r="5" spans="1:1" ht="20.25" customHeight="1">
      <c r="A5" s="26"/>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90"/>
  <sheetViews>
    <sheetView showGridLines="0" tabSelected="1" topLeftCell="G1" zoomScaleNormal="100" zoomScalePageLayoutView="125" workbookViewId="0">
      <selection activeCell="Y3" sqref="Y3"/>
    </sheetView>
  </sheetViews>
  <sheetFormatPr defaultColWidth="8.85546875" defaultRowHeight="15" customHeight="1"/>
  <cols>
    <col min="1" max="1" width="12.7109375" style="16" customWidth="1"/>
    <col min="2" max="2" width="82.85546875" style="18" customWidth="1"/>
    <col min="3" max="16384" width="8.85546875" style="18"/>
  </cols>
  <sheetData>
    <row r="1" spans="1:26" ht="60" customHeight="1">
      <c r="A1" s="16" t="s">
        <v>104</v>
      </c>
      <c r="B1" s="22"/>
    </row>
    <row r="2" spans="1:26" ht="15" customHeight="1">
      <c r="A2" s="16" t="s">
        <v>105</v>
      </c>
    </row>
    <row r="3" spans="1:26" ht="15" customHeight="1">
      <c r="A3" s="16" t="s">
        <v>106</v>
      </c>
      <c r="B3" s="23"/>
      <c r="C3" s="27" t="s">
        <v>0</v>
      </c>
      <c r="D3" s="27" t="s">
        <v>1</v>
      </c>
      <c r="F3" s="27" t="s">
        <v>6</v>
      </c>
      <c r="G3" s="27" t="s">
        <v>1</v>
      </c>
    </row>
    <row r="4" spans="1:26" ht="15" customHeight="1">
      <c r="A4" s="16" t="s">
        <v>117</v>
      </c>
      <c r="C4" s="6" t="s">
        <v>2</v>
      </c>
      <c r="D4" s="6">
        <v>50</v>
      </c>
      <c r="F4" s="6" t="s">
        <v>7</v>
      </c>
      <c r="G4" s="6">
        <v>50</v>
      </c>
      <c r="J4" s="51" t="s">
        <v>378</v>
      </c>
      <c r="K4" s="51" t="s">
        <v>379</v>
      </c>
      <c r="L4" s="51" t="s">
        <v>380</v>
      </c>
      <c r="N4" s="51" t="s">
        <v>389</v>
      </c>
      <c r="O4" s="54" t="s">
        <v>390</v>
      </c>
      <c r="P4" s="51" t="s">
        <v>391</v>
      </c>
      <c r="R4" s="51" t="s">
        <v>392</v>
      </c>
      <c r="S4" s="54" t="s">
        <v>393</v>
      </c>
      <c r="T4" s="51" t="s">
        <v>391</v>
      </c>
      <c r="V4" s="51" t="s">
        <v>378</v>
      </c>
      <c r="W4" s="19"/>
      <c r="X4" s="19"/>
      <c r="Y4" s="19"/>
      <c r="Z4" s="19"/>
    </row>
    <row r="5" spans="1:26" s="19" customFormat="1" ht="15" customHeight="1">
      <c r="A5" s="16" t="s">
        <v>264</v>
      </c>
      <c r="C5" s="6" t="s">
        <v>3</v>
      </c>
      <c r="D5" s="6">
        <v>20</v>
      </c>
      <c r="F5" s="6" t="s">
        <v>8</v>
      </c>
      <c r="G5" s="6">
        <v>30</v>
      </c>
      <c r="J5" s="52" t="s">
        <v>381</v>
      </c>
      <c r="K5" s="52">
        <v>10</v>
      </c>
      <c r="L5" s="52" t="s">
        <v>382</v>
      </c>
      <c r="N5" s="52" t="s">
        <v>381</v>
      </c>
      <c r="O5" s="55">
        <v>75</v>
      </c>
      <c r="P5" s="52" t="str">
        <f>IF(O5&gt;=50,"PASS","FAIL")</f>
        <v>PASS</v>
      </c>
      <c r="R5" s="52">
        <v>60</v>
      </c>
      <c r="S5" s="55">
        <v>70</v>
      </c>
      <c r="T5" s="56" t="b">
        <f>AND(R5&gt;50,S5&gt;50)</f>
        <v>1</v>
      </c>
      <c r="V5" s="52" t="s">
        <v>29</v>
      </c>
    </row>
    <row r="6" spans="1:26" s="19" customFormat="1" ht="15" customHeight="1">
      <c r="A6" s="16" t="s">
        <v>138</v>
      </c>
      <c r="B6" s="24"/>
      <c r="C6" s="6" t="s">
        <v>4</v>
      </c>
      <c r="D6" s="6">
        <v>60</v>
      </c>
      <c r="F6" s="6" t="s">
        <v>9</v>
      </c>
      <c r="G6" s="6">
        <v>10</v>
      </c>
      <c r="J6" s="52" t="s">
        <v>383</v>
      </c>
      <c r="K6" s="52">
        <v>20</v>
      </c>
      <c r="L6" s="52" t="s">
        <v>382</v>
      </c>
      <c r="N6" s="52" t="s">
        <v>383</v>
      </c>
      <c r="O6" s="55">
        <v>45</v>
      </c>
      <c r="P6" s="52" t="str">
        <f t="shared" ref="P6:P8" si="0">IF(O6&gt;=50,"PASS","FAIL")</f>
        <v>FAIL</v>
      </c>
      <c r="R6" s="52">
        <v>60</v>
      </c>
      <c r="S6" s="55">
        <v>40</v>
      </c>
      <c r="T6" s="56" t="b">
        <f t="shared" ref="T6:T8" si="1">AND(R6&gt;50,S6&gt;50)</f>
        <v>0</v>
      </c>
      <c r="V6" s="52" t="s">
        <v>398</v>
      </c>
    </row>
    <row r="7" spans="1:26" s="19" customFormat="1" ht="15" customHeight="1">
      <c r="A7" s="16" t="s">
        <v>340</v>
      </c>
      <c r="C7" s="6" t="s">
        <v>5</v>
      </c>
      <c r="D7" s="6">
        <v>40</v>
      </c>
      <c r="F7" s="6" t="s">
        <v>10</v>
      </c>
      <c r="G7" s="6">
        <v>50</v>
      </c>
      <c r="J7" s="52" t="s">
        <v>384</v>
      </c>
      <c r="K7" s="53" t="s">
        <v>385</v>
      </c>
      <c r="L7" s="53" t="s">
        <v>385</v>
      </c>
      <c r="N7" s="52" t="s">
        <v>384</v>
      </c>
      <c r="O7" s="55">
        <v>60</v>
      </c>
      <c r="P7" s="52" t="str">
        <f t="shared" si="0"/>
        <v>PASS</v>
      </c>
      <c r="R7" s="52">
        <v>45</v>
      </c>
      <c r="S7" s="55">
        <v>80</v>
      </c>
      <c r="T7" s="56" t="b">
        <f t="shared" si="1"/>
        <v>0</v>
      </c>
      <c r="V7" s="52" t="s">
        <v>30</v>
      </c>
    </row>
    <row r="8" spans="1:26" s="19" customFormat="1" ht="15" customHeight="1">
      <c r="A8" s="16" t="s">
        <v>265</v>
      </c>
      <c r="J8" s="53" t="s">
        <v>385</v>
      </c>
      <c r="K8" s="52">
        <v>40</v>
      </c>
      <c r="L8" s="52" t="s">
        <v>386</v>
      </c>
      <c r="N8" s="52" t="s">
        <v>387</v>
      </c>
      <c r="O8" s="55">
        <v>38</v>
      </c>
      <c r="P8" s="52" t="str">
        <f t="shared" si="0"/>
        <v>FAIL</v>
      </c>
      <c r="R8" s="52">
        <v>30</v>
      </c>
      <c r="S8" s="55">
        <v>40</v>
      </c>
      <c r="T8" s="56" t="b">
        <f t="shared" si="1"/>
        <v>0</v>
      </c>
      <c r="V8" s="52" t="s">
        <v>31</v>
      </c>
    </row>
    <row r="9" spans="1:26" s="19" customFormat="1" ht="15" customHeight="1">
      <c r="A9" s="16" t="s">
        <v>275</v>
      </c>
      <c r="C9" s="27" t="s">
        <v>11</v>
      </c>
      <c r="D9" s="27" t="s">
        <v>1</v>
      </c>
      <c r="F9" s="27" t="s">
        <v>11</v>
      </c>
      <c r="G9" s="27" t="s">
        <v>1</v>
      </c>
      <c r="J9" s="52" t="s">
        <v>387</v>
      </c>
      <c r="K9" s="52">
        <v>50</v>
      </c>
      <c r="L9" s="52" t="s">
        <v>388</v>
      </c>
      <c r="V9" s="52" t="s">
        <v>399</v>
      </c>
    </row>
    <row r="10" spans="1:26" s="19" customFormat="1" ht="15" customHeight="1">
      <c r="A10" s="16" t="s">
        <v>365</v>
      </c>
      <c r="C10" s="6" t="s">
        <v>12</v>
      </c>
      <c r="D10" s="6">
        <v>50</v>
      </c>
      <c r="F10" s="6" t="s">
        <v>12</v>
      </c>
      <c r="G10" s="6">
        <v>50</v>
      </c>
      <c r="J10">
        <f>COUNTA(J5:J9)</f>
        <v>5</v>
      </c>
      <c r="K10">
        <f>COUNTA(K5:K9)</f>
        <v>5</v>
      </c>
      <c r="L10">
        <f>COUNTA(L5:L9)</f>
        <v>5</v>
      </c>
      <c r="V10" s="18" t="str">
        <f>_xlfn.TEXTJOIN("-",TRUE,V5:V9)</f>
        <v>Apple-Mango-Orange-Banana-Grapes</v>
      </c>
    </row>
    <row r="11" spans="1:26" s="19" customFormat="1" ht="15" customHeight="1">
      <c r="A11" s="16" t="s">
        <v>276</v>
      </c>
      <c r="C11" s="6" t="s">
        <v>13</v>
      </c>
      <c r="D11" s="6">
        <v>100</v>
      </c>
      <c r="F11" s="6" t="s">
        <v>13</v>
      </c>
      <c r="G11" s="6">
        <v>100</v>
      </c>
      <c r="V11" s="19" t="str">
        <f>_xlfn.TEXTJOIN(",",TRUE,V5:V9)</f>
        <v>Apple,Mango,Orange,Banana,Grapes</v>
      </c>
    </row>
    <row r="12" spans="1:26" s="19" customFormat="1" ht="15" customHeight="1">
      <c r="A12" s="16" t="s">
        <v>118</v>
      </c>
      <c r="C12" s="6" t="s">
        <v>14</v>
      </c>
      <c r="D12" s="6">
        <v>40</v>
      </c>
      <c r="F12" s="6" t="s">
        <v>14</v>
      </c>
      <c r="G12" s="6">
        <v>40</v>
      </c>
    </row>
    <row r="13" spans="1:26" s="19" customFormat="1" ht="15" customHeight="1">
      <c r="A13" s="16"/>
      <c r="C13" s="6" t="s">
        <v>15</v>
      </c>
      <c r="D13" s="6">
        <v>50</v>
      </c>
      <c r="F13" s="6" t="s">
        <v>15</v>
      </c>
      <c r="G13" s="6">
        <v>50</v>
      </c>
      <c r="K13"/>
      <c r="L13"/>
      <c r="M13"/>
    </row>
    <row r="14" spans="1:26" s="19" customFormat="1" ht="15" customHeight="1" thickBot="1">
      <c r="A14" s="16"/>
      <c r="C14" s="6" t="s">
        <v>16</v>
      </c>
      <c r="D14" s="6">
        <v>20</v>
      </c>
      <c r="F14" s="6" t="s">
        <v>16</v>
      </c>
      <c r="G14" s="6">
        <v>20</v>
      </c>
      <c r="H14"/>
      <c r="I14"/>
      <c r="K14" s="51" t="s">
        <v>392</v>
      </c>
      <c r="L14" s="54" t="s">
        <v>393</v>
      </c>
      <c r="M14" s="51" t="s">
        <v>391</v>
      </c>
      <c r="O14" s="54" t="s">
        <v>378</v>
      </c>
      <c r="P14" s="54" t="s">
        <v>379</v>
      </c>
      <c r="Q14" s="51" t="s">
        <v>391</v>
      </c>
      <c r="S14" s="51" t="s">
        <v>378</v>
      </c>
      <c r="T14" s="51" t="s">
        <v>379</v>
      </c>
      <c r="U14" s="51" t="s">
        <v>391</v>
      </c>
    </row>
    <row r="15" spans="1:26" s="19" customFormat="1" ht="15" customHeight="1" thickTop="1" thickBot="1">
      <c r="A15" s="16"/>
      <c r="D15" s="7">
        <f>SUMIF(D10:D14,"&gt;50")</f>
        <v>100</v>
      </c>
      <c r="G15" s="20">
        <f>SUMIF(G10:G14,"&lt;50")</f>
        <v>60</v>
      </c>
      <c r="K15" s="52">
        <v>60</v>
      </c>
      <c r="L15" s="55">
        <v>70</v>
      </c>
      <c r="M15" s="52" t="b">
        <f>OR(K15&gt;50,L15&gt;50)</f>
        <v>1</v>
      </c>
      <c r="O15" s="55">
        <v>100</v>
      </c>
      <c r="P15" s="55">
        <v>20</v>
      </c>
      <c r="Q15" s="52">
        <f>IFERROR(O15/P15,"ERROR")</f>
        <v>5</v>
      </c>
      <c r="S15" s="52" t="s">
        <v>394</v>
      </c>
      <c r="T15" s="52" t="s">
        <v>395</v>
      </c>
      <c r="U15" s="52" t="str">
        <f>_xlfn.CONCAT(S15,T15)</f>
        <v>AyshaMehek</v>
      </c>
    </row>
    <row r="16" spans="1:26" s="19" customFormat="1" ht="15" customHeight="1" thickTop="1">
      <c r="A16" s="16"/>
      <c r="K16" s="52">
        <v>60</v>
      </c>
      <c r="L16" s="55">
        <v>40</v>
      </c>
      <c r="M16" s="52" t="b">
        <f t="shared" ref="M16:M18" si="2">OR(K16&gt;50,L16&gt;50)</f>
        <v>1</v>
      </c>
      <c r="O16" s="55">
        <v>50</v>
      </c>
      <c r="P16" s="55">
        <v>10</v>
      </c>
      <c r="Q16" s="52">
        <f t="shared" ref="Q16:Q18" si="3">IFERROR(O16/P16,"ERROR")</f>
        <v>5</v>
      </c>
      <c r="S16" s="52" t="s">
        <v>396</v>
      </c>
      <c r="T16" s="52" t="s">
        <v>41</v>
      </c>
      <c r="U16" s="52" t="str">
        <f>_xlfn.CONCAT(S16,T16)</f>
        <v>JohnSmith</v>
      </c>
    </row>
    <row r="17" spans="1:21" s="19" customFormat="1" ht="15" customHeight="1">
      <c r="A17" s="16"/>
      <c r="K17" s="52">
        <v>34</v>
      </c>
      <c r="L17" s="55">
        <v>69</v>
      </c>
      <c r="M17" s="52" t="b">
        <f t="shared" si="2"/>
        <v>1</v>
      </c>
      <c r="O17" s="55">
        <v>80</v>
      </c>
      <c r="P17" s="55">
        <v>0</v>
      </c>
      <c r="Q17" s="52" t="str">
        <f t="shared" si="3"/>
        <v>ERROR</v>
      </c>
      <c r="S17" s="52" t="s">
        <v>42</v>
      </c>
      <c r="T17" s="52" t="s">
        <v>397</v>
      </c>
      <c r="U17" s="52" t="str">
        <f>_xlfn.CONCAT(S17,T17)</f>
        <v>DataScience</v>
      </c>
    </row>
    <row r="18" spans="1:21" s="19" customFormat="1" ht="15" customHeight="1">
      <c r="A18" s="16"/>
      <c r="K18" s="52">
        <v>30</v>
      </c>
      <c r="L18" s="55">
        <v>40</v>
      </c>
      <c r="M18" s="52" t="b">
        <f t="shared" si="2"/>
        <v>0</v>
      </c>
      <c r="O18" s="55">
        <v>60</v>
      </c>
      <c r="P18" s="55">
        <v>15</v>
      </c>
      <c r="Q18" s="52">
        <f t="shared" si="3"/>
        <v>4</v>
      </c>
    </row>
    <row r="19" spans="1:21" s="19" customFormat="1" ht="15" customHeight="1">
      <c r="A19" s="16"/>
    </row>
    <row r="20" spans="1:21" s="19" customFormat="1" ht="15" customHeight="1">
      <c r="A20" s="16"/>
    </row>
    <row r="21" spans="1:21" s="19" customFormat="1" ht="15" customHeight="1">
      <c r="A21" s="16"/>
    </row>
    <row r="22" spans="1:21" s="19" customFormat="1" ht="15" customHeight="1">
      <c r="A22" s="16"/>
    </row>
    <row r="23" spans="1:21" s="19" customFormat="1" ht="15" customHeight="1">
      <c r="A23" s="16"/>
    </row>
    <row r="26" spans="1:21" ht="15" customHeight="1">
      <c r="A26" s="16" t="s">
        <v>107</v>
      </c>
    </row>
    <row r="27" spans="1:21" ht="15" customHeight="1">
      <c r="A27" s="16" t="s">
        <v>108</v>
      </c>
    </row>
    <row r="28" spans="1:21" ht="15" customHeight="1">
      <c r="A28" s="16" t="s">
        <v>266</v>
      </c>
    </row>
    <row r="29" spans="1:21" ht="15" customHeight="1">
      <c r="A29" s="16" t="s">
        <v>267</v>
      </c>
    </row>
    <row r="30" spans="1:21" ht="15" customHeight="1">
      <c r="A30" s="16" t="s">
        <v>268</v>
      </c>
    </row>
    <row r="31" spans="1:21" ht="15" customHeight="1">
      <c r="A31" s="16" t="s">
        <v>109</v>
      </c>
    </row>
    <row r="32" spans="1:21" ht="15" customHeight="1">
      <c r="A32" s="16" t="s">
        <v>331</v>
      </c>
    </row>
    <row r="33" spans="1:7" ht="15" customHeight="1">
      <c r="A33" s="16" t="s">
        <v>269</v>
      </c>
    </row>
    <row r="34" spans="1:7" ht="15" customHeight="1">
      <c r="A34" s="16" t="s">
        <v>270</v>
      </c>
    </row>
    <row r="35" spans="1:7" ht="15" customHeight="1">
      <c r="A35" s="16" t="s">
        <v>366</v>
      </c>
    </row>
    <row r="36" spans="1:7" ht="15" customHeight="1">
      <c r="A36" s="16" t="s">
        <v>271</v>
      </c>
      <c r="C36" s="27" t="s">
        <v>0</v>
      </c>
      <c r="D36" s="27" t="s">
        <v>1</v>
      </c>
    </row>
    <row r="37" spans="1:7" ht="15" customHeight="1">
      <c r="A37" s="16" t="s">
        <v>272</v>
      </c>
      <c r="C37" s="6" t="s">
        <v>2</v>
      </c>
      <c r="D37" s="6">
        <v>50</v>
      </c>
      <c r="E37" s="19"/>
    </row>
    <row r="38" spans="1:7" ht="15" customHeight="1">
      <c r="A38" s="16" t="s">
        <v>110</v>
      </c>
      <c r="C38" s="6" t="s">
        <v>3</v>
      </c>
      <c r="D38" s="6">
        <v>20</v>
      </c>
      <c r="E38" s="19"/>
    </row>
    <row r="39" spans="1:7" ht="15" customHeight="1">
      <c r="A39" s="16" t="s">
        <v>273</v>
      </c>
      <c r="C39" s="6" t="s">
        <v>4</v>
      </c>
      <c r="D39" s="6">
        <v>60</v>
      </c>
      <c r="E39" s="19"/>
    </row>
    <row r="40" spans="1:7" ht="15" customHeight="1">
      <c r="A40" s="16" t="s">
        <v>274</v>
      </c>
      <c r="C40" s="6" t="s">
        <v>5</v>
      </c>
      <c r="D40" s="6">
        <v>40</v>
      </c>
      <c r="E40" s="19"/>
    </row>
    <row r="41" spans="1:7" ht="15" customHeight="1">
      <c r="A41" s="16" t="s">
        <v>136</v>
      </c>
      <c r="C41" s="19"/>
      <c r="D41" s="7">
        <f>SUM(D37:D40)</f>
        <v>170</v>
      </c>
      <c r="E41" s="19"/>
      <c r="F41" s="19"/>
      <c r="G41" s="19"/>
    </row>
    <row r="42" spans="1:7" ht="15" customHeight="1">
      <c r="A42" s="16" t="s">
        <v>119</v>
      </c>
    </row>
    <row r="46" spans="1:7" ht="15" customHeight="1">
      <c r="C46" s="27" t="s">
        <v>11</v>
      </c>
      <c r="D46" s="27" t="s">
        <v>1</v>
      </c>
      <c r="E46" s="19"/>
      <c r="F46" s="27" t="s">
        <v>11</v>
      </c>
      <c r="G46" s="27" t="s">
        <v>1</v>
      </c>
    </row>
    <row r="47" spans="1:7" ht="15" customHeight="1">
      <c r="C47" s="6" t="s">
        <v>17</v>
      </c>
      <c r="D47" s="6">
        <v>20</v>
      </c>
      <c r="E47" s="19"/>
      <c r="F47" s="6" t="s">
        <v>18</v>
      </c>
      <c r="G47" s="6">
        <v>20</v>
      </c>
    </row>
    <row r="48" spans="1:7" ht="15" customHeight="1">
      <c r="C48" s="6"/>
      <c r="D48" s="6"/>
      <c r="E48" s="19"/>
      <c r="F48" s="6" t="s">
        <v>19</v>
      </c>
      <c r="G48" s="6">
        <v>10</v>
      </c>
    </row>
    <row r="49" spans="3:7" ht="15" customHeight="1">
      <c r="C49" s="6"/>
      <c r="D49" s="6"/>
      <c r="E49" s="19"/>
      <c r="F49" s="6" t="s">
        <v>20</v>
      </c>
      <c r="G49" s="6">
        <v>10</v>
      </c>
    </row>
    <row r="50" spans="3:7" ht="15" customHeight="1">
      <c r="C50" s="6"/>
      <c r="D50" s="6"/>
      <c r="E50" s="19"/>
      <c r="F50" s="6" t="s">
        <v>21</v>
      </c>
      <c r="G50" s="6">
        <v>40</v>
      </c>
    </row>
    <row r="52" spans="3:7" ht="15" customHeight="1">
      <c r="E52" s="27" t="s">
        <v>22</v>
      </c>
    </row>
    <row r="53" spans="3:7" ht="15" customHeight="1">
      <c r="E53" s="7">
        <f>SUM(D47,G47:G50,100)</f>
        <v>200</v>
      </c>
    </row>
    <row r="65" spans="1:7" ht="15" customHeight="1">
      <c r="A65" s="16" t="s">
        <v>111</v>
      </c>
    </row>
    <row r="66" spans="1:7" ht="15" customHeight="1">
      <c r="A66" s="16" t="s">
        <v>277</v>
      </c>
    </row>
    <row r="67" spans="1:7" ht="15" customHeight="1">
      <c r="A67" s="16" t="s">
        <v>278</v>
      </c>
    </row>
    <row r="68" spans="1:7" ht="15" customHeight="1">
      <c r="A68" s="16" t="s">
        <v>367</v>
      </c>
    </row>
    <row r="69" spans="1:7" ht="15" customHeight="1">
      <c r="A69" s="16" t="s">
        <v>279</v>
      </c>
    </row>
    <row r="70" spans="1:7" ht="15" customHeight="1">
      <c r="A70" s="16" t="s">
        <v>137</v>
      </c>
    </row>
    <row r="71" spans="1:7" ht="15" customHeight="1">
      <c r="A71" s="16" t="s">
        <v>280</v>
      </c>
      <c r="C71" s="27" t="s">
        <v>11</v>
      </c>
      <c r="D71" s="27" t="s">
        <v>1</v>
      </c>
      <c r="F71" s="27" t="s">
        <v>11</v>
      </c>
      <c r="G71" s="27" t="s">
        <v>1</v>
      </c>
    </row>
    <row r="72" spans="1:7" ht="15" customHeight="1">
      <c r="A72" s="48" t="s">
        <v>368</v>
      </c>
      <c r="C72" s="6" t="s">
        <v>12</v>
      </c>
      <c r="D72" s="6">
        <v>50</v>
      </c>
      <c r="F72" s="6" t="s">
        <v>12</v>
      </c>
      <c r="G72" s="6">
        <v>50</v>
      </c>
    </row>
    <row r="73" spans="1:7" ht="15" customHeight="1">
      <c r="A73" s="16" t="s">
        <v>120</v>
      </c>
      <c r="C73" s="6" t="s">
        <v>13</v>
      </c>
      <c r="D73" s="6">
        <v>100</v>
      </c>
      <c r="F73" s="6" t="s">
        <v>13</v>
      </c>
      <c r="G73" s="6">
        <v>100</v>
      </c>
    </row>
    <row r="74" spans="1:7" ht="15" customHeight="1">
      <c r="C74" s="6" t="s">
        <v>14</v>
      </c>
      <c r="D74" s="6">
        <v>40</v>
      </c>
      <c r="F74" s="6" t="s">
        <v>14</v>
      </c>
      <c r="G74" s="6">
        <v>40</v>
      </c>
    </row>
    <row r="75" spans="1:7" ht="15" customHeight="1">
      <c r="C75" s="6" t="s">
        <v>15</v>
      </c>
      <c r="D75" s="6">
        <v>50</v>
      </c>
      <c r="F75" s="6" t="s">
        <v>15</v>
      </c>
      <c r="G75" s="6">
        <v>50</v>
      </c>
    </row>
    <row r="76" spans="1:7" ht="15" customHeight="1" thickBot="1">
      <c r="C76" s="6" t="s">
        <v>16</v>
      </c>
      <c r="D76" s="6">
        <v>20</v>
      </c>
      <c r="F76" s="6" t="s">
        <v>16</v>
      </c>
      <c r="G76" s="6">
        <v>20</v>
      </c>
    </row>
    <row r="77" spans="1:7" ht="15" customHeight="1" thickTop="1" thickBot="1">
      <c r="D77" s="7">
        <f>SUMIF(D72:D76,"&gt;50")</f>
        <v>100</v>
      </c>
      <c r="F77" s="21"/>
      <c r="G77" s="20">
        <f>SUMIF(G72:G76,"&gt;=50")</f>
        <v>200</v>
      </c>
    </row>
    <row r="78" spans="1:7" ht="15" customHeight="1" thickTop="1"/>
    <row r="85" spans="1:1" ht="15" customHeight="1">
      <c r="A85" s="16" t="s">
        <v>113</v>
      </c>
    </row>
    <row r="86" spans="1:1" ht="15" customHeight="1">
      <c r="A86" s="16" t="s">
        <v>114</v>
      </c>
    </row>
    <row r="87" spans="1:1" ht="15" customHeight="1">
      <c r="A87" s="16" t="s">
        <v>115</v>
      </c>
    </row>
    <row r="88" spans="1:1" ht="15" customHeight="1">
      <c r="A88" s="16" t="s">
        <v>116</v>
      </c>
    </row>
    <row r="89" spans="1:1" ht="15" customHeight="1">
      <c r="A89" s="16" t="s">
        <v>361</v>
      </c>
    </row>
    <row r="90" spans="1:1" ht="15" customHeight="1">
      <c r="A90" s="16" t="s">
        <v>112</v>
      </c>
    </row>
  </sheetData>
  <hyperlinks>
    <hyperlink ref="A86" r:id="rId1" tooltip="Select to learn all about the SUM function from the web" xr:uid="{00000000-0004-0000-0100-000000000000}"/>
    <hyperlink ref="A87" r:id="rId2" tooltip="Select to learn all about the SUMIF function from the web" xr:uid="{00000000-0004-0000-0100-000001000000}"/>
    <hyperlink ref="A88" r:id="rId3" tooltip="Select to learn how to use Excel as a calculator from the web" xr:uid="{00000000-0004-0000-0100-000002000000}"/>
    <hyperlink ref="A89" r:id="rId4" tooltip="Select to learn an overview of Free Excel training online from the web" xr:uid="{00000000-0004-0000-0100-000003000000}"/>
    <hyperlink ref="A70"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zoomScaleNormal="100" zoomScalePageLayoutView="125" workbookViewId="0">
      <selection activeCell="F38" sqref="F38"/>
    </sheetView>
  </sheetViews>
  <sheetFormatPr defaultColWidth="8.85546875" defaultRowHeight="15" customHeight="1"/>
  <cols>
    <col min="1" max="1" width="12.7109375" style="16" customWidth="1"/>
    <col min="2" max="2" width="82.85546875" customWidth="1"/>
    <col min="3" max="16384" width="8.85546875" style="18"/>
  </cols>
  <sheetData>
    <row r="1" spans="1:9" ht="60" customHeight="1">
      <c r="A1" s="16" t="s">
        <v>122</v>
      </c>
    </row>
    <row r="2" spans="1:9" ht="15" customHeight="1">
      <c r="A2" s="16" t="s">
        <v>139</v>
      </c>
    </row>
    <row r="3" spans="1:9" ht="15" customHeight="1">
      <c r="A3" s="16" t="s">
        <v>281</v>
      </c>
      <c r="C3" s="27" t="s">
        <v>23</v>
      </c>
      <c r="D3" s="27" t="s">
        <v>24</v>
      </c>
      <c r="E3" s="27" t="s">
        <v>25</v>
      </c>
      <c r="F3" s="27" t="s">
        <v>24</v>
      </c>
      <c r="G3" s="27" t="s">
        <v>25</v>
      </c>
    </row>
    <row r="4" spans="1:9" ht="15" customHeight="1">
      <c r="A4" s="16" t="s">
        <v>123</v>
      </c>
      <c r="C4" s="6">
        <v>50</v>
      </c>
      <c r="D4" s="6">
        <v>50</v>
      </c>
      <c r="E4" s="7">
        <f>SUM(C4:D4)</f>
        <v>100</v>
      </c>
      <c r="F4" s="6">
        <v>75</v>
      </c>
      <c r="G4" s="6">
        <f>SUM(E4:F4)</f>
        <v>175</v>
      </c>
    </row>
    <row r="5" spans="1:9" s="19" customFormat="1" ht="15" customHeight="1">
      <c r="A5" s="16" t="s">
        <v>282</v>
      </c>
      <c r="B5"/>
      <c r="C5" s="6">
        <v>50</v>
      </c>
      <c r="D5" s="6">
        <v>60</v>
      </c>
      <c r="E5" s="6"/>
      <c r="F5" s="6">
        <v>75</v>
      </c>
      <c r="G5" s="6"/>
      <c r="H5" s="18"/>
      <c r="I5" s="18"/>
    </row>
    <row r="6" spans="1:9" s="19" customFormat="1" ht="15" customHeight="1">
      <c r="A6" s="16" t="s">
        <v>283</v>
      </c>
      <c r="B6"/>
      <c r="C6" s="6">
        <v>50</v>
      </c>
      <c r="D6" s="6">
        <v>70</v>
      </c>
      <c r="E6" s="6"/>
      <c r="F6" s="6">
        <v>75</v>
      </c>
      <c r="G6" s="6"/>
      <c r="H6" s="18"/>
      <c r="I6" s="18"/>
    </row>
    <row r="7" spans="1:9" s="19" customFormat="1" ht="15" customHeight="1">
      <c r="A7" s="16" t="s">
        <v>284</v>
      </c>
      <c r="B7"/>
      <c r="C7" s="6">
        <v>50</v>
      </c>
      <c r="D7" s="6">
        <v>80</v>
      </c>
      <c r="E7" s="6"/>
      <c r="F7" s="6">
        <v>75</v>
      </c>
      <c r="G7" s="6"/>
      <c r="H7" s="18"/>
      <c r="I7" s="18"/>
    </row>
    <row r="8" spans="1:9" s="19" customFormat="1" ht="15" customHeight="1">
      <c r="A8" s="16" t="s">
        <v>124</v>
      </c>
      <c r="B8"/>
      <c r="C8" s="18"/>
      <c r="D8" s="18"/>
      <c r="E8" s="18"/>
      <c r="F8" s="18"/>
      <c r="G8" s="18"/>
      <c r="H8" s="18"/>
      <c r="I8" s="18"/>
    </row>
    <row r="9" spans="1:9" s="19" customFormat="1" ht="15" customHeight="1">
      <c r="A9" s="16" t="s">
        <v>125</v>
      </c>
      <c r="B9"/>
      <c r="C9" s="18"/>
      <c r="D9" s="18"/>
      <c r="E9" s="18"/>
      <c r="F9" s="18"/>
      <c r="G9" s="18"/>
      <c r="H9" s="18"/>
      <c r="I9" s="18"/>
    </row>
    <row r="10" spans="1:9" s="19" customFormat="1" ht="15" customHeight="1">
      <c r="A10" s="16"/>
      <c r="B10"/>
      <c r="C10" s="27" t="s">
        <v>23</v>
      </c>
      <c r="D10" s="27" t="s">
        <v>24</v>
      </c>
      <c r="E10" s="27" t="s">
        <v>25</v>
      </c>
      <c r="F10" s="27" t="s">
        <v>24</v>
      </c>
      <c r="G10" s="27" t="s">
        <v>25</v>
      </c>
      <c r="H10" s="18"/>
      <c r="I10" s="18"/>
    </row>
    <row r="11" spans="1:9" s="19" customFormat="1" ht="15" customHeight="1">
      <c r="A11" s="16"/>
      <c r="B11"/>
      <c r="C11" s="6">
        <v>50</v>
      </c>
      <c r="D11" s="6">
        <v>50</v>
      </c>
      <c r="E11" s="6">
        <f>SUM(C11:D11)</f>
        <v>100</v>
      </c>
      <c r="F11" s="6">
        <v>75</v>
      </c>
      <c r="G11" s="6">
        <f>SUM(E11:F11)</f>
        <v>175</v>
      </c>
      <c r="H11" s="18"/>
      <c r="I11" s="18"/>
    </row>
    <row r="12" spans="1:9" s="19" customFormat="1" ht="15" customHeight="1">
      <c r="A12" s="16"/>
      <c r="B12"/>
      <c r="C12" s="6">
        <v>50</v>
      </c>
      <c r="D12" s="6">
        <v>60</v>
      </c>
      <c r="E12" s="6">
        <f t="shared" ref="E12:E14" si="0">SUM(C12:D12)</f>
        <v>110</v>
      </c>
      <c r="F12" s="6">
        <v>75</v>
      </c>
      <c r="G12" s="6">
        <f t="shared" ref="G12:G14" si="1">SUM(E12:F12)</f>
        <v>185</v>
      </c>
      <c r="H12" s="18"/>
      <c r="I12" s="18"/>
    </row>
    <row r="13" spans="1:9" s="19" customFormat="1" ht="15" customHeight="1">
      <c r="A13" s="16"/>
      <c r="B13"/>
      <c r="C13" s="6">
        <v>50</v>
      </c>
      <c r="D13" s="6">
        <v>70</v>
      </c>
      <c r="E13" s="6">
        <f t="shared" si="0"/>
        <v>120</v>
      </c>
      <c r="F13" s="6">
        <v>75</v>
      </c>
      <c r="G13" s="6">
        <f t="shared" si="1"/>
        <v>195</v>
      </c>
      <c r="H13" s="18"/>
      <c r="I13" s="18"/>
    </row>
    <row r="14" spans="1:9" s="19" customFormat="1" ht="15" customHeight="1">
      <c r="A14" s="16"/>
      <c r="B14"/>
      <c r="C14" s="42">
        <v>50</v>
      </c>
      <c r="D14" s="42">
        <v>80</v>
      </c>
      <c r="E14" s="42">
        <f t="shared" si="0"/>
        <v>130</v>
      </c>
      <c r="F14" s="42">
        <v>75</v>
      </c>
      <c r="G14" s="42">
        <f t="shared" si="1"/>
        <v>205</v>
      </c>
      <c r="H14" s="18"/>
      <c r="I14" s="18"/>
    </row>
    <row r="15" spans="1:9" s="19" customFormat="1" ht="15" customHeight="1">
      <c r="A15" s="16"/>
      <c r="B15"/>
      <c r="C15" s="7">
        <f>SUM(C11:C14)</f>
        <v>200</v>
      </c>
      <c r="D15" s="6"/>
      <c r="E15" s="6"/>
      <c r="F15" s="6"/>
      <c r="G15" s="6"/>
      <c r="H15" s="18"/>
      <c r="I15" s="18"/>
    </row>
    <row r="16" spans="1:9" s="19" customFormat="1" ht="15" customHeight="1">
      <c r="A16" s="16"/>
      <c r="B16"/>
      <c r="H16" s="18"/>
      <c r="I16" s="18"/>
    </row>
    <row r="17" spans="1:9" s="19" customFormat="1" ht="15" customHeight="1">
      <c r="A17" s="16"/>
      <c r="B17"/>
      <c r="H17" s="18"/>
      <c r="I17" s="18"/>
    </row>
    <row r="18" spans="1:9" s="19" customFormat="1" ht="15" customHeight="1">
      <c r="A18" s="16"/>
      <c r="B18"/>
      <c r="C18" s="18"/>
      <c r="D18" s="18"/>
      <c r="E18" s="18"/>
      <c r="F18" s="18"/>
      <c r="G18" s="18"/>
      <c r="H18" s="18"/>
      <c r="I18" s="18"/>
    </row>
    <row r="19" spans="1:9" s="19" customFormat="1" ht="15" customHeight="1">
      <c r="A19" s="16"/>
      <c r="B19"/>
      <c r="C19" s="18"/>
      <c r="D19" s="18"/>
      <c r="E19" s="18"/>
      <c r="F19" s="18"/>
      <c r="G19" s="18"/>
      <c r="H19" s="18"/>
      <c r="I19" s="18"/>
    </row>
    <row r="20" spans="1:9" s="19" customFormat="1" ht="15" customHeight="1">
      <c r="A20" s="16"/>
      <c r="B20"/>
      <c r="C20" s="18"/>
      <c r="D20" s="18"/>
      <c r="E20" s="18"/>
      <c r="F20" s="18"/>
      <c r="G20" s="18"/>
      <c r="H20" s="18"/>
      <c r="I20" s="18"/>
    </row>
    <row r="21" spans="1:9" s="19" customFormat="1" ht="15" customHeight="1">
      <c r="A21" s="16"/>
      <c r="B21"/>
      <c r="C21" s="18"/>
      <c r="D21" s="18"/>
      <c r="E21" s="18"/>
      <c r="F21" s="18"/>
      <c r="G21" s="18"/>
      <c r="H21" s="18"/>
      <c r="I21" s="18"/>
    </row>
    <row r="22" spans="1:9" s="19" customFormat="1" ht="15" customHeight="1">
      <c r="A22" s="16"/>
      <c r="B22"/>
    </row>
    <row r="23" spans="1:9" s="19" customFormat="1" ht="15" customHeight="1">
      <c r="A23" s="16"/>
      <c r="B23"/>
    </row>
    <row r="24" spans="1:9" s="19" customFormat="1" ht="15" customHeight="1">
      <c r="A24" s="16"/>
      <c r="B24"/>
    </row>
    <row r="27" spans="1:9" ht="15" customHeight="1">
      <c r="A27" s="16" t="s">
        <v>126</v>
      </c>
    </row>
    <row r="28" spans="1:9" ht="15" customHeight="1">
      <c r="A28" s="16" t="s">
        <v>127</v>
      </c>
    </row>
    <row r="29" spans="1:9" ht="15" customHeight="1">
      <c r="A29" s="16" t="s">
        <v>285</v>
      </c>
    </row>
    <row r="30" spans="1:9" ht="15" customHeight="1">
      <c r="A30" s="16" t="s">
        <v>286</v>
      </c>
    </row>
    <row r="31" spans="1:9" ht="15" customHeight="1">
      <c r="A31" s="16" t="s">
        <v>140</v>
      </c>
    </row>
    <row r="33" spans="3:8" ht="15" customHeight="1">
      <c r="C33" s="27" t="s">
        <v>34</v>
      </c>
      <c r="D33" s="27" t="s">
        <v>26</v>
      </c>
      <c r="E33" s="27" t="s">
        <v>27</v>
      </c>
      <c r="F33" s="27" t="s">
        <v>33</v>
      </c>
    </row>
    <row r="34" spans="3:8" ht="15" customHeight="1">
      <c r="C34" s="43" t="s">
        <v>28</v>
      </c>
      <c r="D34" s="43" t="s">
        <v>0</v>
      </c>
      <c r="E34" s="6" t="s">
        <v>29</v>
      </c>
      <c r="F34" s="6">
        <v>100</v>
      </c>
    </row>
    <row r="35" spans="3:8" ht="15" customHeight="1">
      <c r="C35" s="6"/>
      <c r="D35" s="6"/>
      <c r="E35" s="6" t="s">
        <v>30</v>
      </c>
      <c r="F35" s="6">
        <v>200</v>
      </c>
    </row>
    <row r="36" spans="3:8" ht="15" customHeight="1">
      <c r="C36" s="6"/>
      <c r="D36" s="6"/>
      <c r="E36" s="6" t="s">
        <v>31</v>
      </c>
      <c r="F36" s="6">
        <v>50</v>
      </c>
    </row>
    <row r="37" spans="3:8" ht="15" customHeight="1">
      <c r="C37" s="6"/>
      <c r="D37" s="6"/>
      <c r="E37" s="6" t="s">
        <v>32</v>
      </c>
      <c r="F37" s="6">
        <v>100</v>
      </c>
    </row>
    <row r="46" spans="3:8" ht="15" customHeight="1" thickBot="1">
      <c r="C46" s="27"/>
      <c r="D46" s="27" t="s">
        <v>35</v>
      </c>
      <c r="E46" s="27"/>
      <c r="F46" s="27"/>
    </row>
    <row r="47" spans="3:8" ht="15" customHeight="1" thickTop="1" thickBot="1">
      <c r="C47" s="43" t="s">
        <v>36</v>
      </c>
      <c r="D47" s="6">
        <v>35</v>
      </c>
      <c r="E47" s="6">
        <v>44</v>
      </c>
      <c r="F47" s="6">
        <v>79</v>
      </c>
      <c r="H47" s="20" t="s">
        <v>61</v>
      </c>
    </row>
    <row r="48" spans="3:8" ht="15" customHeight="1" thickTop="1">
      <c r="C48" s="6"/>
      <c r="D48" s="6">
        <v>74</v>
      </c>
      <c r="E48" s="6">
        <v>64</v>
      </c>
      <c r="F48" s="6">
        <v>56</v>
      </c>
      <c r="H48" s="6"/>
    </row>
    <row r="49" spans="1:8" ht="15" customHeight="1">
      <c r="C49" s="6"/>
      <c r="D49" s="6">
        <v>82</v>
      </c>
      <c r="E49" s="6">
        <v>50</v>
      </c>
      <c r="F49" s="6">
        <v>83</v>
      </c>
      <c r="H49" s="6"/>
    </row>
    <row r="50" spans="1:8" ht="15" customHeight="1">
      <c r="C50" s="6"/>
      <c r="D50" s="6">
        <v>90</v>
      </c>
      <c r="E50" s="6">
        <v>22</v>
      </c>
      <c r="F50" s="6">
        <v>89</v>
      </c>
      <c r="H50" s="6"/>
    </row>
    <row r="60" spans="1:8" ht="15" customHeight="1">
      <c r="C60" s="27" t="s">
        <v>37</v>
      </c>
      <c r="D60" s="27"/>
      <c r="E60" s="27"/>
      <c r="F60" s="27"/>
      <c r="G60" s="27"/>
      <c r="H60" s="27"/>
    </row>
    <row r="61" spans="1:8" ht="15" customHeight="1">
      <c r="C61" s="43">
        <v>15</v>
      </c>
      <c r="D61" s="43">
        <v>30</v>
      </c>
      <c r="E61" s="6"/>
      <c r="F61" s="6"/>
      <c r="G61" s="6"/>
      <c r="H61" s="6"/>
    </row>
    <row r="64" spans="1:8" ht="15" customHeight="1">
      <c r="A64" s="16" t="s">
        <v>113</v>
      </c>
    </row>
    <row r="65" spans="1:1" ht="15" customHeight="1">
      <c r="A65" s="16" t="s">
        <v>141</v>
      </c>
    </row>
    <row r="66" spans="1:1" ht="15" customHeight="1">
      <c r="A66" s="16" t="s">
        <v>142</v>
      </c>
    </row>
    <row r="67" spans="1:1" ht="15" customHeight="1">
      <c r="A67" s="16" t="s">
        <v>112</v>
      </c>
    </row>
  </sheetData>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heetViews>
  <sheetFormatPr defaultColWidth="8.85546875" defaultRowHeight="15" customHeight="1"/>
  <cols>
    <col min="1" max="1" width="12.7109375" style="16" customWidth="1"/>
    <col min="2" max="2" width="82.85546875" customWidth="1"/>
    <col min="3" max="3" width="33.85546875" customWidth="1"/>
    <col min="4" max="4" width="10.28515625" customWidth="1"/>
    <col min="5" max="5" width="9.85546875" customWidth="1"/>
    <col min="6" max="7" width="15.5703125" customWidth="1"/>
    <col min="8" max="8" width="9.85546875" customWidth="1"/>
  </cols>
  <sheetData>
    <row r="1" spans="1:8" ht="60" customHeight="1">
      <c r="A1" s="16" t="s">
        <v>128</v>
      </c>
    </row>
    <row r="2" spans="1:8" ht="15" customHeight="1">
      <c r="A2" s="16" t="s">
        <v>341</v>
      </c>
    </row>
    <row r="3" spans="1:8" ht="15" customHeight="1">
      <c r="A3" s="16" t="s">
        <v>342</v>
      </c>
    </row>
    <row r="4" spans="1:8" ht="15" customHeight="1">
      <c r="A4" s="16" t="s">
        <v>143</v>
      </c>
      <c r="C4" s="27" t="s">
        <v>38</v>
      </c>
      <c r="D4" s="27" t="s">
        <v>39</v>
      </c>
      <c r="E4" s="27" t="s">
        <v>40</v>
      </c>
    </row>
    <row r="5" spans="1:8" s="3" customFormat="1" ht="15" customHeight="1">
      <c r="A5" s="16" t="s">
        <v>144</v>
      </c>
      <c r="B5"/>
      <c r="C5" s="31" t="s">
        <v>88</v>
      </c>
      <c r="D5" s="10"/>
      <c r="E5" s="32" t="s">
        <v>41</v>
      </c>
      <c r="F5"/>
      <c r="G5"/>
      <c r="H5"/>
    </row>
    <row r="6" spans="1:8" s="3" customFormat="1" ht="15" customHeight="1">
      <c r="A6" s="16" t="s">
        <v>287</v>
      </c>
      <c r="B6"/>
      <c r="C6" s="31" t="s">
        <v>95</v>
      </c>
      <c r="D6"/>
      <c r="E6" s="32"/>
      <c r="F6"/>
      <c r="G6"/>
      <c r="H6"/>
    </row>
    <row r="7" spans="1:8" s="3" customFormat="1" ht="15" customHeight="1">
      <c r="A7" s="16" t="s">
        <v>125</v>
      </c>
      <c r="B7"/>
      <c r="C7" s="31" t="s">
        <v>90</v>
      </c>
      <c r="D7"/>
      <c r="E7" s="32"/>
      <c r="F7"/>
      <c r="G7"/>
      <c r="H7"/>
    </row>
    <row r="8" spans="1:8" s="3" customFormat="1" ht="15" customHeight="1">
      <c r="A8" s="16"/>
      <c r="B8"/>
      <c r="C8" s="31" t="s">
        <v>89</v>
      </c>
      <c r="D8"/>
      <c r="E8" s="32"/>
      <c r="F8"/>
      <c r="G8"/>
      <c r="H8"/>
    </row>
    <row r="9" spans="1:8" s="3" customFormat="1" ht="15" customHeight="1">
      <c r="A9" s="16"/>
      <c r="B9"/>
      <c r="C9" s="33" t="s">
        <v>100</v>
      </c>
      <c r="D9" s="45"/>
      <c r="E9" s="46"/>
      <c r="F9"/>
      <c r="G9"/>
      <c r="H9"/>
    </row>
    <row r="10" spans="1:8" s="3" customFormat="1" ht="15" customHeight="1">
      <c r="A10" s="16"/>
      <c r="B10"/>
      <c r="C10"/>
      <c r="D10"/>
      <c r="E10"/>
      <c r="F10"/>
      <c r="G10"/>
      <c r="H10"/>
    </row>
    <row r="11" spans="1:8" s="3" customFormat="1" ht="15" customHeight="1">
      <c r="A11" s="16"/>
      <c r="B11"/>
      <c r="C11"/>
      <c r="D11"/>
      <c r="E11"/>
      <c r="F11"/>
      <c r="G11"/>
      <c r="H11"/>
    </row>
    <row r="12" spans="1:8" s="3" customFormat="1" ht="15" customHeight="1">
      <c r="A12" s="16"/>
      <c r="B12"/>
      <c r="C12"/>
      <c r="D12"/>
      <c r="E12"/>
      <c r="F12"/>
      <c r="G12"/>
      <c r="H12"/>
    </row>
    <row r="13" spans="1:8" s="3" customFormat="1" ht="15" customHeight="1">
      <c r="A13" s="16"/>
      <c r="B13"/>
      <c r="C13"/>
      <c r="D13"/>
      <c r="E13"/>
      <c r="F13"/>
      <c r="G13"/>
      <c r="H13"/>
    </row>
    <row r="14" spans="1:8" s="3" customFormat="1" ht="15" customHeight="1">
      <c r="A14" s="16"/>
      <c r="B14"/>
      <c r="C14"/>
      <c r="D14"/>
      <c r="E14"/>
      <c r="F14"/>
      <c r="G14"/>
      <c r="H14"/>
    </row>
    <row r="15" spans="1:8" s="3" customFormat="1" ht="15" customHeight="1">
      <c r="A15" s="16"/>
      <c r="B15"/>
      <c r="C15"/>
      <c r="D15"/>
      <c r="E15"/>
      <c r="F15"/>
      <c r="G15"/>
      <c r="H15"/>
    </row>
    <row r="16" spans="1:8" s="3" customFormat="1" ht="15" customHeight="1">
      <c r="A16" s="16"/>
      <c r="B16"/>
      <c r="C16"/>
      <c r="D16"/>
      <c r="E16"/>
      <c r="F16"/>
      <c r="G16"/>
      <c r="H16"/>
    </row>
    <row r="17" spans="1:8" s="3" customFormat="1" ht="15" customHeight="1">
      <c r="A17" s="16"/>
      <c r="B17"/>
      <c r="C17"/>
      <c r="D17"/>
      <c r="E17"/>
      <c r="F17"/>
      <c r="G17"/>
      <c r="H17"/>
    </row>
    <row r="18" spans="1:8" s="3" customFormat="1" ht="15" customHeight="1">
      <c r="A18" s="16"/>
      <c r="B18"/>
      <c r="C18"/>
      <c r="D18"/>
      <c r="E18"/>
      <c r="F18"/>
      <c r="G18"/>
      <c r="H18"/>
    </row>
    <row r="19" spans="1:8" s="3" customFormat="1" ht="15" customHeight="1">
      <c r="A19" s="16"/>
      <c r="B19"/>
      <c r="C19"/>
      <c r="D19"/>
      <c r="E19"/>
      <c r="F19"/>
      <c r="G19"/>
      <c r="H19"/>
    </row>
    <row r="20" spans="1:8" s="3" customFormat="1" ht="15" customHeight="1">
      <c r="A20" s="16"/>
      <c r="B20"/>
      <c r="C20"/>
      <c r="D20"/>
      <c r="E20"/>
      <c r="F20"/>
      <c r="G20"/>
      <c r="H20"/>
    </row>
    <row r="21" spans="1:8" s="3" customFormat="1" ht="15" customHeight="1">
      <c r="A21" s="16"/>
      <c r="B21"/>
      <c r="C21"/>
      <c r="D21"/>
      <c r="E21"/>
      <c r="F21"/>
      <c r="G21"/>
      <c r="H21"/>
    </row>
    <row r="22" spans="1:8" s="3" customFormat="1" ht="15" customHeight="1">
      <c r="A22" s="16"/>
      <c r="B22"/>
    </row>
    <row r="23" spans="1:8" s="3" customFormat="1" ht="15" customHeight="1">
      <c r="A23" s="16"/>
      <c r="B23"/>
    </row>
    <row r="24" spans="1:8" s="3" customFormat="1" ht="15" customHeight="1">
      <c r="A24" s="16"/>
      <c r="B24"/>
    </row>
    <row r="27" spans="1:8" ht="15" customHeight="1">
      <c r="A27" s="16" t="s">
        <v>145</v>
      </c>
    </row>
    <row r="28" spans="1:8" ht="15" customHeight="1">
      <c r="A28" s="16" t="s">
        <v>146</v>
      </c>
    </row>
    <row r="29" spans="1:8" ht="15" customHeight="1">
      <c r="A29" s="16" t="s">
        <v>288</v>
      </c>
    </row>
    <row r="30" spans="1:8" ht="15" customHeight="1">
      <c r="A30" s="16" t="s">
        <v>289</v>
      </c>
    </row>
    <row r="31" spans="1:8" ht="15" customHeight="1">
      <c r="A31" s="16" t="s">
        <v>290</v>
      </c>
      <c r="C31" s="27" t="s">
        <v>42</v>
      </c>
      <c r="D31" s="27" t="s">
        <v>39</v>
      </c>
      <c r="E31" s="27" t="s">
        <v>40</v>
      </c>
      <c r="F31" s="47" t="s">
        <v>99</v>
      </c>
    </row>
    <row r="32" spans="1:8" ht="15" customHeight="1">
      <c r="A32" s="16" t="s">
        <v>291</v>
      </c>
      <c r="C32" s="8" t="s">
        <v>91</v>
      </c>
    </row>
    <row r="33" spans="1:6" ht="15" customHeight="1">
      <c r="A33" s="16" t="s">
        <v>292</v>
      </c>
      <c r="C33" s="8" t="s">
        <v>92</v>
      </c>
    </row>
    <row r="34" spans="1:6" ht="15" customHeight="1">
      <c r="A34" s="16" t="s">
        <v>293</v>
      </c>
      <c r="C34" s="8" t="s">
        <v>93</v>
      </c>
    </row>
    <row r="35" spans="1:6" ht="15" customHeight="1">
      <c r="A35" s="16" t="s">
        <v>147</v>
      </c>
      <c r="C35" s="8" t="s">
        <v>94</v>
      </c>
    </row>
    <row r="36" spans="1:6" ht="15" customHeight="1">
      <c r="C36" s="8" t="s">
        <v>96</v>
      </c>
    </row>
    <row r="37" spans="1:6" ht="15" customHeight="1">
      <c r="C37" s="8" t="s">
        <v>97</v>
      </c>
    </row>
    <row r="38" spans="1:6" ht="15" customHeight="1">
      <c r="C38" s="8" t="s">
        <v>98</v>
      </c>
    </row>
    <row r="39" spans="1:6" ht="15" customHeight="1">
      <c r="C39" s="29" t="s">
        <v>102</v>
      </c>
      <c r="D39" s="30"/>
      <c r="E39" s="30"/>
      <c r="F39" s="30"/>
    </row>
    <row r="40" spans="1:6" ht="15" customHeight="1">
      <c r="C40" s="11"/>
      <c r="D40" s="11"/>
      <c r="E40" s="11"/>
      <c r="F40" s="11"/>
    </row>
    <row r="49" spans="1:8" ht="15" customHeight="1">
      <c r="A49" s="16" t="s">
        <v>148</v>
      </c>
    </row>
    <row r="50" spans="1:8" ht="15" customHeight="1">
      <c r="A50" s="16" t="s">
        <v>149</v>
      </c>
    </row>
    <row r="51" spans="1:8" ht="15" customHeight="1">
      <c r="A51" s="16" t="s">
        <v>369</v>
      </c>
    </row>
    <row r="52" spans="1:8" ht="15" customHeight="1">
      <c r="A52" s="16" t="s">
        <v>155</v>
      </c>
    </row>
    <row r="53" spans="1:8" ht="15" customHeight="1">
      <c r="A53" s="16" t="s">
        <v>150</v>
      </c>
    </row>
    <row r="54" spans="1:8" ht="15" customHeight="1">
      <c r="A54" s="16" t="s">
        <v>151</v>
      </c>
    </row>
    <row r="55" spans="1:8" ht="15" customHeight="1">
      <c r="A55" s="16" t="s">
        <v>152</v>
      </c>
      <c r="C55" s="27" t="s">
        <v>62</v>
      </c>
      <c r="E55" s="27" t="s">
        <v>39</v>
      </c>
      <c r="F55" s="47" t="s">
        <v>43</v>
      </c>
      <c r="G55" s="27" t="s">
        <v>101</v>
      </c>
      <c r="H55" s="27" t="s">
        <v>40</v>
      </c>
    </row>
    <row r="56" spans="1:8" ht="15" customHeight="1">
      <c r="A56" s="16" t="s">
        <v>153</v>
      </c>
      <c r="C56" s="6" t="s">
        <v>44</v>
      </c>
      <c r="E56" s="7" t="str">
        <f>LEFT(C56,FIND(" ",C56)-1)</f>
        <v>Yvonne</v>
      </c>
      <c r="F56" s="7" t="str">
        <f>RIGHT(C56,LEN(C56)-FIND(" ",C56))</f>
        <v>Francis McKay</v>
      </c>
      <c r="G56" s="7" t="str">
        <f>LEFT(F56,FIND(" ",F56)-1)</f>
        <v>Francis</v>
      </c>
      <c r="H56" s="7" t="str">
        <f>RIGHT(F56,LEN(F56)-FIND(" ",F56))</f>
        <v>McKay</v>
      </c>
    </row>
    <row r="57" spans="1:8" ht="15" customHeight="1">
      <c r="A57" s="16" t="s">
        <v>370</v>
      </c>
    </row>
    <row r="58" spans="1:8" ht="15" customHeight="1">
      <c r="A58" s="16" t="s">
        <v>154</v>
      </c>
    </row>
    <row r="59" spans="1:8" ht="15" customHeight="1">
      <c r="A59" s="16" t="s">
        <v>156</v>
      </c>
    </row>
    <row r="60" spans="1:8" ht="15" customHeight="1">
      <c r="A60" s="16" t="s">
        <v>157</v>
      </c>
    </row>
    <row r="61" spans="1:8" ht="15" customHeight="1">
      <c r="A61" s="16" t="s">
        <v>294</v>
      </c>
    </row>
    <row r="62" spans="1:8" ht="15" customHeight="1">
      <c r="A62" s="16" t="s">
        <v>371</v>
      </c>
    </row>
    <row r="63" spans="1:8" ht="15" customHeight="1">
      <c r="A63" s="16" t="s">
        <v>177</v>
      </c>
    </row>
    <row r="79" spans="1:1" ht="15" customHeight="1">
      <c r="A79" s="16" t="s">
        <v>113</v>
      </c>
    </row>
    <row r="80" spans="1:1" ht="15" customHeight="1">
      <c r="A80" s="16" t="s">
        <v>158</v>
      </c>
    </row>
    <row r="81" spans="1:1" ht="15" customHeight="1">
      <c r="A81" s="16" t="s">
        <v>159</v>
      </c>
    </row>
    <row r="82" spans="1:1" ht="15" customHeight="1">
      <c r="A82" s="16" t="s">
        <v>160</v>
      </c>
    </row>
    <row r="83" spans="1:1" ht="15" customHeight="1">
      <c r="A83" s="16" t="s">
        <v>161</v>
      </c>
    </row>
    <row r="84" spans="1:1" ht="15" customHeight="1">
      <c r="A84" s="16" t="s">
        <v>162</v>
      </c>
    </row>
    <row r="85" spans="1:1" ht="15" customHeight="1">
      <c r="A85" s="16" t="s">
        <v>163</v>
      </c>
    </row>
    <row r="86" spans="1:1" ht="15" customHeight="1">
      <c r="A86" s="16" t="s">
        <v>112</v>
      </c>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zoomScaleNormal="100" zoomScalePageLayoutView="125" workbookViewId="0"/>
  </sheetViews>
  <sheetFormatPr defaultColWidth="8.85546875" defaultRowHeight="15" customHeight="1"/>
  <cols>
    <col min="1" max="1" width="12.7109375" style="16" customWidth="1"/>
    <col min="2" max="2" width="82.85546875" customWidth="1"/>
  </cols>
  <sheetData>
    <row r="1" spans="1:8" ht="60" customHeight="1">
      <c r="A1" s="16" t="s">
        <v>129</v>
      </c>
    </row>
    <row r="2" spans="1:8" ht="15" customHeight="1">
      <c r="A2" s="16" t="s">
        <v>164</v>
      </c>
    </row>
    <row r="3" spans="1:8" ht="15" customHeight="1">
      <c r="A3" s="16" t="s">
        <v>165</v>
      </c>
    </row>
    <row r="4" spans="1:8" ht="15" customHeight="1">
      <c r="A4" s="16" t="s">
        <v>166</v>
      </c>
    </row>
    <row r="5" spans="1:8" s="3" customFormat="1" ht="15" customHeight="1">
      <c r="A5" s="16" t="s">
        <v>167</v>
      </c>
      <c r="B5"/>
      <c r="C5" s="27" t="s">
        <v>11</v>
      </c>
      <c r="D5" s="6" t="s">
        <v>12</v>
      </c>
      <c r="E5" s="6" t="s">
        <v>13</v>
      </c>
      <c r="F5" s="6" t="s">
        <v>14</v>
      </c>
      <c r="G5" s="6" t="s">
        <v>15</v>
      </c>
      <c r="H5" s="6" t="s">
        <v>16</v>
      </c>
    </row>
    <row r="6" spans="1:8" s="3" customFormat="1" ht="15" customHeight="1">
      <c r="A6" s="16" t="s">
        <v>295</v>
      </c>
      <c r="B6"/>
      <c r="C6" s="27" t="s">
        <v>1</v>
      </c>
      <c r="D6" s="6">
        <v>50</v>
      </c>
      <c r="E6" s="6">
        <v>100</v>
      </c>
      <c r="F6" s="6">
        <v>40</v>
      </c>
      <c r="G6" s="6">
        <v>50</v>
      </c>
      <c r="H6" s="6">
        <v>20</v>
      </c>
    </row>
    <row r="7" spans="1:8" s="3" customFormat="1" ht="15" customHeight="1">
      <c r="A7" s="16" t="s">
        <v>296</v>
      </c>
      <c r="B7"/>
      <c r="C7"/>
      <c r="D7"/>
      <c r="E7"/>
      <c r="F7"/>
      <c r="G7"/>
      <c r="H7"/>
    </row>
    <row r="8" spans="1:8" s="3" customFormat="1" ht="15" customHeight="1">
      <c r="A8" s="16" t="s">
        <v>168</v>
      </c>
      <c r="B8"/>
      <c r="C8"/>
      <c r="D8"/>
      <c r="E8"/>
      <c r="F8"/>
      <c r="G8"/>
      <c r="H8"/>
    </row>
    <row r="9" spans="1:8" s="3" customFormat="1" ht="15" customHeight="1">
      <c r="A9" s="16" t="s">
        <v>118</v>
      </c>
      <c r="B9" t="s">
        <v>169</v>
      </c>
      <c r="C9" s="7"/>
      <c r="D9"/>
      <c r="E9"/>
      <c r="F9"/>
      <c r="G9"/>
      <c r="H9"/>
    </row>
    <row r="10" spans="1:8" s="3" customFormat="1" ht="15" customHeight="1">
      <c r="A10" s="16"/>
      <c r="B10"/>
      <c r="C10"/>
      <c r="D10"/>
      <c r="E10"/>
      <c r="F10"/>
      <c r="G10"/>
      <c r="H10"/>
    </row>
    <row r="11" spans="1:8" s="3" customFormat="1" ht="15" customHeight="1">
      <c r="A11" s="16"/>
      <c r="B11"/>
      <c r="C11"/>
      <c r="D11"/>
      <c r="E11"/>
      <c r="F11"/>
      <c r="G11"/>
      <c r="H11"/>
    </row>
    <row r="12" spans="1:8" s="3" customFormat="1" ht="15" customHeight="1">
      <c r="A12" s="16"/>
      <c r="B12"/>
      <c r="C12"/>
      <c r="D12"/>
      <c r="E12"/>
      <c r="F12"/>
      <c r="G12"/>
      <c r="H12"/>
    </row>
    <row r="13" spans="1:8" s="3" customFormat="1" ht="15" customHeight="1">
      <c r="A13" s="16"/>
      <c r="B13"/>
      <c r="C13"/>
      <c r="D13"/>
      <c r="E13"/>
      <c r="F13"/>
      <c r="G13"/>
      <c r="H13"/>
    </row>
    <row r="14" spans="1:8" s="3" customFormat="1" ht="15" customHeight="1">
      <c r="A14" s="16"/>
      <c r="B14"/>
      <c r="C14"/>
      <c r="D14"/>
      <c r="E14"/>
      <c r="F14"/>
      <c r="G14"/>
      <c r="H14"/>
    </row>
    <row r="15" spans="1:8" s="3" customFormat="1" ht="15" customHeight="1">
      <c r="A15" s="16"/>
      <c r="B15"/>
      <c r="C15"/>
      <c r="D15"/>
      <c r="E15"/>
      <c r="F15"/>
      <c r="G15"/>
      <c r="H15"/>
    </row>
    <row r="16" spans="1:8" s="3" customFormat="1" ht="15" customHeight="1">
      <c r="A16" s="16"/>
      <c r="B16"/>
      <c r="C16"/>
      <c r="D16"/>
      <c r="E16"/>
      <c r="F16"/>
      <c r="G16"/>
      <c r="H16"/>
    </row>
    <row r="17" spans="1:8" s="3" customFormat="1" ht="15" customHeight="1">
      <c r="A17" s="16"/>
      <c r="B17"/>
      <c r="C17"/>
      <c r="D17"/>
      <c r="E17"/>
      <c r="F17"/>
      <c r="G17"/>
      <c r="H17"/>
    </row>
    <row r="18" spans="1:8" s="3" customFormat="1" ht="15" customHeight="1">
      <c r="A18" s="16"/>
      <c r="B18"/>
      <c r="C18"/>
      <c r="D18"/>
      <c r="E18"/>
      <c r="F18"/>
      <c r="G18"/>
      <c r="H18"/>
    </row>
    <row r="19" spans="1:8" s="3" customFormat="1" ht="15" customHeight="1">
      <c r="A19" s="16"/>
      <c r="B19"/>
      <c r="C19"/>
      <c r="D19"/>
      <c r="E19"/>
      <c r="F19"/>
      <c r="G19"/>
      <c r="H19"/>
    </row>
    <row r="20" spans="1:8" s="3" customFormat="1" ht="15" customHeight="1">
      <c r="A20" s="16"/>
      <c r="B20"/>
      <c r="C20"/>
      <c r="D20"/>
      <c r="E20"/>
      <c r="F20"/>
      <c r="G20"/>
      <c r="H20"/>
    </row>
    <row r="21" spans="1:8" s="3" customFormat="1" ht="15" customHeight="1">
      <c r="A21" s="16"/>
      <c r="B21"/>
      <c r="C21"/>
      <c r="D21"/>
      <c r="E21"/>
      <c r="F21"/>
      <c r="G21"/>
      <c r="H21"/>
    </row>
    <row r="22" spans="1:8" s="3" customFormat="1" ht="15" customHeight="1">
      <c r="A22" s="16"/>
      <c r="B22"/>
    </row>
    <row r="23" spans="1:8" s="3" customFormat="1" ht="15" customHeight="1">
      <c r="A23" s="16"/>
      <c r="B23"/>
    </row>
    <row r="24" spans="1:8" s="3" customFormat="1" ht="15" customHeight="1">
      <c r="A24" s="16"/>
      <c r="B24"/>
    </row>
    <row r="27" spans="1:8" ht="15" customHeight="1">
      <c r="A27" s="16" t="s">
        <v>171</v>
      </c>
    </row>
    <row r="28" spans="1:8" ht="15" customHeight="1">
      <c r="A28" s="16" t="s">
        <v>172</v>
      </c>
    </row>
    <row r="29" spans="1:8" ht="15" customHeight="1">
      <c r="A29" s="16" t="s">
        <v>343</v>
      </c>
    </row>
    <row r="30" spans="1:8" ht="15" customHeight="1">
      <c r="A30" s="48" t="s">
        <v>352</v>
      </c>
    </row>
    <row r="31" spans="1:8" ht="15" customHeight="1">
      <c r="A31" s="16" t="s">
        <v>173</v>
      </c>
    </row>
    <row r="32" spans="1:8" ht="15" customHeight="1">
      <c r="A32" s="16" t="s">
        <v>174</v>
      </c>
    </row>
    <row r="33" spans="1:8" ht="15" customHeight="1">
      <c r="A33" s="16" t="s">
        <v>178</v>
      </c>
      <c r="C33" s="27" t="s">
        <v>11</v>
      </c>
      <c r="D33" s="6" t="s">
        <v>12</v>
      </c>
      <c r="E33" s="6" t="s">
        <v>13</v>
      </c>
      <c r="F33" s="6" t="s">
        <v>14</v>
      </c>
      <c r="G33" s="6" t="s">
        <v>15</v>
      </c>
      <c r="H33" s="6" t="s">
        <v>16</v>
      </c>
    </row>
    <row r="34" spans="1:8" ht="15" customHeight="1">
      <c r="C34" s="27" t="s">
        <v>1</v>
      </c>
      <c r="D34" s="6">
        <v>50</v>
      </c>
      <c r="E34" s="6">
        <v>100</v>
      </c>
      <c r="F34" s="6">
        <v>40</v>
      </c>
      <c r="G34" s="6">
        <v>50</v>
      </c>
      <c r="H34" s="6">
        <v>20</v>
      </c>
    </row>
    <row r="40" spans="1:8" ht="15" customHeight="1">
      <c r="C40" s="7"/>
      <c r="D40" s="7"/>
    </row>
    <row r="41" spans="1:8" ht="15" customHeight="1">
      <c r="C41" s="7"/>
      <c r="D41" s="7"/>
    </row>
    <row r="42" spans="1:8" ht="15" customHeight="1">
      <c r="C42" s="7"/>
      <c r="D42" s="7"/>
    </row>
    <row r="43" spans="1:8" ht="15" customHeight="1">
      <c r="C43" s="7"/>
      <c r="D43" s="7"/>
    </row>
    <row r="44" spans="1:8" ht="15" customHeight="1">
      <c r="C44" s="7"/>
      <c r="D44" s="7"/>
    </row>
    <row r="45" spans="1:8" ht="15" customHeight="1">
      <c r="C45" s="7"/>
      <c r="D45" s="7"/>
    </row>
    <row r="54" spans="1:1" ht="15" customHeight="1">
      <c r="A54" s="16" t="s">
        <v>179</v>
      </c>
    </row>
    <row r="55" spans="1:1" ht="15" customHeight="1">
      <c r="A55" s="16" t="s">
        <v>180</v>
      </c>
    </row>
    <row r="56" spans="1:1" ht="15" customHeight="1">
      <c r="A56" s="16" t="s">
        <v>181</v>
      </c>
    </row>
    <row r="57" spans="1:1" ht="15" customHeight="1">
      <c r="A57" s="16" t="s">
        <v>175</v>
      </c>
    </row>
    <row r="58" spans="1:1" ht="15" customHeight="1">
      <c r="A58" s="16" t="s">
        <v>176</v>
      </c>
    </row>
    <row r="59" spans="1:1" ht="15" customHeight="1">
      <c r="A59" s="16" t="s">
        <v>182</v>
      </c>
    </row>
    <row r="72" spans="1:1" ht="15" customHeight="1">
      <c r="A72" s="16" t="s">
        <v>113</v>
      </c>
    </row>
    <row r="73" spans="1:1" ht="15" customHeight="1">
      <c r="A73" s="16" t="s">
        <v>183</v>
      </c>
    </row>
    <row r="74" spans="1:1" ht="15" customHeight="1">
      <c r="A74" s="16" t="s">
        <v>184</v>
      </c>
    </row>
    <row r="75" spans="1:1" ht="15" customHeight="1">
      <c r="A75" s="16" t="s">
        <v>185</v>
      </c>
    </row>
    <row r="76" spans="1:1" ht="15" customHeight="1">
      <c r="A76" s="16" t="s">
        <v>112</v>
      </c>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defaultColWidth="8.85546875" defaultRowHeight="15" customHeight="1"/>
  <cols>
    <col min="1" max="1" width="12.7109375" style="16" customWidth="1"/>
    <col min="2" max="2" width="82.85546875" customWidth="1"/>
    <col min="3" max="3" width="15.140625" customWidth="1"/>
    <col min="4" max="4" width="12.5703125" customWidth="1"/>
    <col min="5" max="5" width="8.28515625" customWidth="1"/>
    <col min="6" max="6" width="9.28515625" customWidth="1"/>
    <col min="7" max="7" width="10.85546875" customWidth="1"/>
  </cols>
  <sheetData>
    <row r="1" spans="1:7" ht="60" customHeight="1">
      <c r="A1" s="16" t="s">
        <v>130</v>
      </c>
    </row>
    <row r="2" spans="1:7" ht="15" customHeight="1">
      <c r="A2" s="16" t="s">
        <v>303</v>
      </c>
    </row>
    <row r="3" spans="1:7" ht="15" customHeight="1">
      <c r="A3" s="16" t="s">
        <v>297</v>
      </c>
    </row>
    <row r="4" spans="1:7" ht="15" customHeight="1">
      <c r="A4" s="16" t="s">
        <v>298</v>
      </c>
    </row>
    <row r="5" spans="1:7" s="3" customFormat="1" ht="15" customHeight="1">
      <c r="A5" s="16" t="s">
        <v>299</v>
      </c>
      <c r="B5"/>
      <c r="C5" s="27" t="s">
        <v>46</v>
      </c>
      <c r="D5" s="27" t="s">
        <v>26</v>
      </c>
      <c r="E5" s="27" t="s">
        <v>47</v>
      </c>
      <c r="F5" s="27" t="s">
        <v>48</v>
      </c>
      <c r="G5" s="27" t="s">
        <v>49</v>
      </c>
    </row>
    <row r="6" spans="1:7" s="3" customFormat="1" ht="15" customHeight="1">
      <c r="A6" s="16" t="s">
        <v>300</v>
      </c>
      <c r="B6"/>
      <c r="C6" s="6" t="s">
        <v>6</v>
      </c>
      <c r="D6" s="6" t="s">
        <v>7</v>
      </c>
      <c r="E6" s="50">
        <v>90000</v>
      </c>
      <c r="F6" s="50">
        <v>110000</v>
      </c>
      <c r="G6" s="50">
        <v>120000</v>
      </c>
    </row>
    <row r="7" spans="1:7" s="3" customFormat="1" ht="15" customHeight="1">
      <c r="A7" s="16" t="s">
        <v>301</v>
      </c>
      <c r="B7"/>
      <c r="C7" t="s">
        <v>45</v>
      </c>
      <c r="D7" t="s">
        <v>52</v>
      </c>
      <c r="E7" s="36">
        <v>25000</v>
      </c>
      <c r="F7" s="36">
        <v>80000</v>
      </c>
      <c r="G7" s="36">
        <v>120000</v>
      </c>
    </row>
    <row r="8" spans="1:7" s="3" customFormat="1" ht="15" customHeight="1">
      <c r="A8" s="16" t="s">
        <v>118</v>
      </c>
      <c r="B8"/>
      <c r="C8" s="6" t="s">
        <v>28</v>
      </c>
      <c r="D8" s="6" t="s">
        <v>0</v>
      </c>
      <c r="E8" s="50">
        <v>10000</v>
      </c>
      <c r="F8" s="50">
        <v>30000</v>
      </c>
      <c r="G8" s="50">
        <v>40000</v>
      </c>
    </row>
    <row r="9" spans="1:7" s="3" customFormat="1" ht="15" customHeight="1">
      <c r="A9" s="16"/>
      <c r="B9"/>
      <c r="C9" t="s">
        <v>28</v>
      </c>
      <c r="D9" t="s">
        <v>50</v>
      </c>
      <c r="E9" s="36">
        <v>30000</v>
      </c>
      <c r="F9" s="36">
        <v>80000</v>
      </c>
      <c r="G9" s="36">
        <v>30000</v>
      </c>
    </row>
    <row r="10" spans="1:7" s="3" customFormat="1" ht="15" customHeight="1">
      <c r="A10" s="16"/>
      <c r="B10"/>
      <c r="C10" s="6" t="s">
        <v>53</v>
      </c>
      <c r="D10" s="6" t="s">
        <v>54</v>
      </c>
      <c r="E10" s="50">
        <v>90000</v>
      </c>
      <c r="F10" s="50">
        <v>35000</v>
      </c>
      <c r="G10" s="50">
        <v>25000</v>
      </c>
    </row>
    <row r="11" spans="1:7" s="3" customFormat="1" ht="15" customHeight="1">
      <c r="A11" s="16"/>
      <c r="B11"/>
      <c r="C11" t="s">
        <v>6</v>
      </c>
      <c r="D11" t="s">
        <v>8</v>
      </c>
      <c r="E11" s="36">
        <v>75000</v>
      </c>
      <c r="F11" s="36">
        <v>82000</v>
      </c>
      <c r="G11" s="36">
        <v>2000000</v>
      </c>
    </row>
    <row r="12" spans="1:7" s="3" customFormat="1" ht="15" customHeight="1">
      <c r="A12" s="16"/>
      <c r="B12"/>
      <c r="C12" s="5" t="s">
        <v>45</v>
      </c>
      <c r="D12" s="5" t="s">
        <v>51</v>
      </c>
      <c r="E12" s="28">
        <v>30000</v>
      </c>
      <c r="F12" s="28">
        <v>15000</v>
      </c>
      <c r="G12" s="28">
        <v>20000</v>
      </c>
    </row>
    <row r="13" spans="1:7" s="3" customFormat="1" ht="15" customHeight="1">
      <c r="A13" s="16"/>
      <c r="B13"/>
      <c r="C13" t="s">
        <v>53</v>
      </c>
      <c r="D13" t="s">
        <v>64</v>
      </c>
      <c r="E13" s="36">
        <v>80000</v>
      </c>
      <c r="F13" s="36">
        <v>40000</v>
      </c>
      <c r="G13" s="36">
        <v>20000</v>
      </c>
    </row>
    <row r="14" spans="1:7" s="3" customFormat="1" ht="15" customHeight="1">
      <c r="A14" s="16"/>
      <c r="B14"/>
      <c r="C14"/>
      <c r="D14"/>
      <c r="E14"/>
      <c r="F14"/>
      <c r="G14"/>
    </row>
    <row r="15" spans="1:7" s="3" customFormat="1" ht="15" customHeight="1">
      <c r="A15" s="16"/>
      <c r="B15"/>
      <c r="C15"/>
      <c r="D15"/>
      <c r="E15"/>
      <c r="F15"/>
      <c r="G15"/>
    </row>
    <row r="16" spans="1:7" s="3" customFormat="1" ht="15" customHeight="1">
      <c r="A16" s="16"/>
      <c r="B16"/>
      <c r="C16"/>
      <c r="D16"/>
      <c r="E16"/>
      <c r="F16"/>
      <c r="G16"/>
    </row>
    <row r="17" spans="1:7" s="3" customFormat="1" ht="15" customHeight="1">
      <c r="A17" s="16"/>
      <c r="B17"/>
      <c r="C17"/>
      <c r="D17"/>
      <c r="E17"/>
      <c r="F17"/>
      <c r="G17"/>
    </row>
    <row r="18" spans="1:7" s="3" customFormat="1" ht="15" customHeight="1">
      <c r="A18" s="16"/>
      <c r="B18"/>
      <c r="C18"/>
      <c r="D18"/>
      <c r="E18"/>
      <c r="F18"/>
      <c r="G18"/>
    </row>
    <row r="19" spans="1:7" s="3" customFormat="1" ht="15" customHeight="1">
      <c r="A19" s="16"/>
      <c r="B19"/>
      <c r="C19"/>
      <c r="D19"/>
      <c r="E19"/>
      <c r="F19"/>
      <c r="G19"/>
    </row>
    <row r="20" spans="1:7" s="3" customFormat="1" ht="15" customHeight="1">
      <c r="A20" s="16"/>
      <c r="B20"/>
      <c r="C20"/>
      <c r="D20"/>
      <c r="E20"/>
      <c r="F20"/>
      <c r="G20"/>
    </row>
    <row r="21" spans="1:7" s="3" customFormat="1" ht="15" customHeight="1">
      <c r="A21" s="16"/>
      <c r="B21"/>
      <c r="C21"/>
      <c r="D21"/>
      <c r="E21"/>
      <c r="F21"/>
      <c r="G21"/>
    </row>
    <row r="22" spans="1:7" s="3" customFormat="1" ht="15" customHeight="1">
      <c r="A22" s="16"/>
      <c r="B22"/>
    </row>
    <row r="23" spans="1:7" s="3" customFormat="1" ht="15" customHeight="1">
      <c r="A23" s="16"/>
      <c r="B23"/>
    </row>
    <row r="24" spans="1:7" s="3" customFormat="1" ht="15" customHeight="1">
      <c r="A24" s="16"/>
      <c r="B24"/>
    </row>
    <row r="27" spans="1:7" ht="15" customHeight="1">
      <c r="A27" s="16" t="s">
        <v>186</v>
      </c>
    </row>
    <row r="28" spans="1:7" ht="15" customHeight="1">
      <c r="A28" s="16" t="s">
        <v>304</v>
      </c>
    </row>
    <row r="29" spans="1:7" ht="15" customHeight="1">
      <c r="A29" s="16" t="s">
        <v>302</v>
      </c>
    </row>
    <row r="30" spans="1:7" ht="15" customHeight="1">
      <c r="A30" s="16" t="s">
        <v>305</v>
      </c>
    </row>
    <row r="31" spans="1:7" ht="15" customHeight="1">
      <c r="A31" s="16" t="s">
        <v>364</v>
      </c>
      <c r="C31" t="s">
        <v>67</v>
      </c>
      <c r="D31" t="s">
        <v>68</v>
      </c>
      <c r="E31" t="s">
        <v>57</v>
      </c>
      <c r="F31" t="s">
        <v>69</v>
      </c>
    </row>
    <row r="32" spans="1:7" ht="15" customHeight="1">
      <c r="A32" s="16" t="s">
        <v>188</v>
      </c>
      <c r="C32" s="41">
        <f ca="1">TODAY()-2</f>
        <v>46222</v>
      </c>
      <c r="D32" t="s">
        <v>70</v>
      </c>
      <c r="E32" s="34">
        <v>21</v>
      </c>
      <c r="F32" s="35">
        <v>3820</v>
      </c>
    </row>
    <row r="33" spans="1:6" ht="15" customHeight="1">
      <c r="A33" s="16" t="s">
        <v>189</v>
      </c>
      <c r="C33" s="41">
        <f ca="1">TODAY()-3</f>
        <v>46221</v>
      </c>
      <c r="D33" t="s">
        <v>71</v>
      </c>
      <c r="E33" s="34">
        <v>62</v>
      </c>
      <c r="F33" s="34">
        <v>2112</v>
      </c>
    </row>
    <row r="34" spans="1:6" ht="15" customHeight="1">
      <c r="C34" s="41">
        <f ca="1">TODAY()-6</f>
        <v>46218</v>
      </c>
      <c r="D34" t="s">
        <v>73</v>
      </c>
      <c r="E34" s="34">
        <v>25</v>
      </c>
      <c r="F34" s="34">
        <v>1611</v>
      </c>
    </row>
    <row r="35" spans="1:6" ht="15" customHeight="1">
      <c r="C35" s="41">
        <f ca="1">TODAY()</f>
        <v>46224</v>
      </c>
      <c r="D35" t="s">
        <v>72</v>
      </c>
      <c r="E35" s="34">
        <v>30</v>
      </c>
      <c r="F35" s="35">
        <v>3085</v>
      </c>
    </row>
    <row r="36" spans="1:6" ht="15" customHeight="1">
      <c r="C36" s="41">
        <f ca="1">TODAY()-4</f>
        <v>46220</v>
      </c>
      <c r="D36" t="s">
        <v>75</v>
      </c>
      <c r="E36" s="34">
        <v>69</v>
      </c>
      <c r="F36" s="34">
        <v>528</v>
      </c>
    </row>
    <row r="37" spans="1:6" ht="15" customHeight="1">
      <c r="C37" s="41">
        <f ca="1">TODAY()-5</f>
        <v>46219</v>
      </c>
      <c r="D37" t="s">
        <v>74</v>
      </c>
      <c r="E37" s="34">
        <v>45</v>
      </c>
      <c r="F37" s="35">
        <v>5050</v>
      </c>
    </row>
    <row r="43" spans="1:6" ht="15" customHeight="1">
      <c r="A43" s="16" t="s">
        <v>187</v>
      </c>
    </row>
    <row r="44" spans="1:6" ht="15" customHeight="1">
      <c r="A44" s="16" t="s">
        <v>306</v>
      </c>
    </row>
    <row r="45" spans="1:6" ht="15" customHeight="1">
      <c r="A45" s="16" t="s">
        <v>332</v>
      </c>
    </row>
    <row r="46" spans="1:6" ht="15" customHeight="1">
      <c r="A46" s="16" t="s">
        <v>333</v>
      </c>
    </row>
    <row r="47" spans="1:6" ht="15" customHeight="1">
      <c r="A47" s="16" t="s">
        <v>206</v>
      </c>
    </row>
    <row r="49" spans="1:6" ht="15" customHeight="1">
      <c r="C49" t="s">
        <v>67</v>
      </c>
      <c r="D49" t="s">
        <v>68</v>
      </c>
      <c r="E49" t="s">
        <v>57</v>
      </c>
      <c r="F49" t="s">
        <v>69</v>
      </c>
    </row>
    <row r="50" spans="1:6" ht="15" customHeight="1">
      <c r="C50" s="41">
        <f ca="1">TODAY()-2</f>
        <v>46222</v>
      </c>
      <c r="D50" t="s">
        <v>70</v>
      </c>
      <c r="E50" s="34">
        <v>21</v>
      </c>
      <c r="F50" s="34">
        <v>3820</v>
      </c>
    </row>
    <row r="51" spans="1:6" ht="15" customHeight="1">
      <c r="C51" s="41">
        <f ca="1">TODAY()-3</f>
        <v>46221</v>
      </c>
      <c r="D51" t="s">
        <v>71</v>
      </c>
      <c r="E51" s="34">
        <v>62</v>
      </c>
      <c r="F51" s="34">
        <v>2112</v>
      </c>
    </row>
    <row r="52" spans="1:6" ht="15" customHeight="1">
      <c r="C52" s="41">
        <f ca="1">TODAY()</f>
        <v>46224</v>
      </c>
      <c r="D52" t="s">
        <v>72</v>
      </c>
      <c r="E52" s="34">
        <v>30</v>
      </c>
      <c r="F52" s="34">
        <v>3085</v>
      </c>
    </row>
    <row r="53" spans="1:6" ht="15" customHeight="1">
      <c r="C53" s="41">
        <f ca="1">TODAY()-6</f>
        <v>46218</v>
      </c>
      <c r="D53" t="s">
        <v>73</v>
      </c>
      <c r="E53" s="34">
        <v>25</v>
      </c>
      <c r="F53" s="34">
        <v>1611</v>
      </c>
    </row>
    <row r="54" spans="1:6" ht="15" customHeight="1">
      <c r="C54" s="41">
        <f ca="1">TODAY()-5</f>
        <v>46219</v>
      </c>
      <c r="D54" t="s">
        <v>74</v>
      </c>
      <c r="E54" s="34">
        <v>45</v>
      </c>
      <c r="F54" s="34">
        <v>5050</v>
      </c>
    </row>
    <row r="55" spans="1:6" ht="15" customHeight="1">
      <c r="C55" s="41">
        <f ca="1">TODAY()-4</f>
        <v>46220</v>
      </c>
      <c r="D55" t="s">
        <v>75</v>
      </c>
      <c r="E55" s="34">
        <v>69</v>
      </c>
      <c r="F55" s="34">
        <v>528</v>
      </c>
    </row>
    <row r="60" spans="1:6" ht="15" customHeight="1">
      <c r="A60" s="16" t="s">
        <v>113</v>
      </c>
    </row>
    <row r="61" spans="1:6" ht="15" customHeight="1">
      <c r="A61" s="16" t="s">
        <v>190</v>
      </c>
    </row>
    <row r="62" spans="1:6" ht="15" customHeight="1">
      <c r="A62" s="16" t="s">
        <v>191</v>
      </c>
    </row>
    <row r="63" spans="1:6" ht="15" customHeight="1">
      <c r="A63" s="16" t="s">
        <v>112</v>
      </c>
    </row>
  </sheetData>
  <sortState xmlns:xlrd2="http://schemas.microsoft.com/office/spreadsheetml/2017/richdata2" ref="C6:G13">
    <sortCondition ref="G5"/>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zoomScaleNormal="100" zoomScalePageLayoutView="125" workbookViewId="0"/>
  </sheetViews>
  <sheetFormatPr defaultColWidth="8.85546875" defaultRowHeight="15" customHeight="1"/>
  <cols>
    <col min="1" max="1" width="12.7109375" style="16" customWidth="1"/>
    <col min="2" max="2" width="82.85546875" customWidth="1"/>
    <col min="3" max="3" width="13.85546875" customWidth="1"/>
    <col min="4" max="4" width="11" customWidth="1"/>
    <col min="5" max="8" width="9.28515625" customWidth="1"/>
  </cols>
  <sheetData>
    <row r="1" spans="1:8" ht="60" customHeight="1">
      <c r="A1" s="16" t="s">
        <v>131</v>
      </c>
      <c r="B1" s="1"/>
    </row>
    <row r="2" spans="1:8" ht="15" customHeight="1">
      <c r="A2" s="16" t="s">
        <v>192</v>
      </c>
    </row>
    <row r="3" spans="1:8" ht="15" customHeight="1">
      <c r="A3" s="16" t="s">
        <v>234</v>
      </c>
      <c r="B3" s="2"/>
    </row>
    <row r="4" spans="1:8" ht="15" customHeight="1">
      <c r="A4" s="16" t="s">
        <v>307</v>
      </c>
    </row>
    <row r="5" spans="1:8" s="3" customFormat="1" ht="15" customHeight="1">
      <c r="A5" s="16" t="s">
        <v>193</v>
      </c>
      <c r="C5" t="s">
        <v>46</v>
      </c>
      <c r="D5" t="s">
        <v>26</v>
      </c>
      <c r="E5" t="s">
        <v>47</v>
      </c>
      <c r="F5" t="s">
        <v>48</v>
      </c>
      <c r="G5" t="s">
        <v>49</v>
      </c>
      <c r="H5"/>
    </row>
    <row r="6" spans="1:8" s="3" customFormat="1" ht="15" customHeight="1">
      <c r="A6" s="16" t="s">
        <v>308</v>
      </c>
      <c r="B6" s="4"/>
      <c r="C6" t="s">
        <v>28</v>
      </c>
      <c r="D6" t="s">
        <v>50</v>
      </c>
      <c r="E6">
        <v>30000</v>
      </c>
      <c r="F6">
        <v>80000</v>
      </c>
      <c r="G6">
        <v>30000</v>
      </c>
      <c r="H6"/>
    </row>
    <row r="7" spans="1:8" s="3" customFormat="1" ht="15" customHeight="1">
      <c r="A7" s="16" t="s">
        <v>334</v>
      </c>
      <c r="C7" t="s">
        <v>28</v>
      </c>
      <c r="D7" t="s">
        <v>0</v>
      </c>
      <c r="E7">
        <v>10000</v>
      </c>
      <c r="F7">
        <v>30000</v>
      </c>
      <c r="G7">
        <v>40000</v>
      </c>
      <c r="H7"/>
    </row>
    <row r="8" spans="1:8" s="3" customFormat="1" ht="15" customHeight="1">
      <c r="A8" s="16" t="s">
        <v>235</v>
      </c>
      <c r="C8" t="s">
        <v>45</v>
      </c>
      <c r="D8" t="s">
        <v>51</v>
      </c>
      <c r="E8">
        <v>30000</v>
      </c>
      <c r="F8">
        <v>15000</v>
      </c>
      <c r="G8">
        <v>20000</v>
      </c>
      <c r="H8"/>
    </row>
    <row r="9" spans="1:8" s="3" customFormat="1" ht="15" customHeight="1">
      <c r="A9" s="48" t="s">
        <v>335</v>
      </c>
      <c r="C9" t="s">
        <v>45</v>
      </c>
      <c r="D9" t="s">
        <v>52</v>
      </c>
      <c r="E9">
        <v>25000</v>
      </c>
      <c r="F9">
        <v>80000</v>
      </c>
      <c r="G9">
        <v>120000</v>
      </c>
      <c r="H9"/>
    </row>
    <row r="10" spans="1:8" s="3" customFormat="1" ht="15" customHeight="1">
      <c r="A10" s="16" t="s">
        <v>118</v>
      </c>
      <c r="C10" t="s">
        <v>53</v>
      </c>
      <c r="D10" t="s">
        <v>65</v>
      </c>
      <c r="E10">
        <v>80000</v>
      </c>
      <c r="F10">
        <v>40000</v>
      </c>
      <c r="G10">
        <v>20000</v>
      </c>
      <c r="H10"/>
    </row>
    <row r="11" spans="1:8" s="3" customFormat="1" ht="15" customHeight="1">
      <c r="A11" s="16"/>
      <c r="C11" t="s">
        <v>53</v>
      </c>
      <c r="D11" t="s">
        <v>54</v>
      </c>
      <c r="E11">
        <v>90000</v>
      </c>
      <c r="F11">
        <v>35000</v>
      </c>
      <c r="G11">
        <v>25000</v>
      </c>
      <c r="H11"/>
    </row>
    <row r="12" spans="1:8" s="3" customFormat="1" ht="15" customHeight="1">
      <c r="A12" s="16"/>
      <c r="C12" t="s">
        <v>6</v>
      </c>
      <c r="D12" t="s">
        <v>7</v>
      </c>
      <c r="E12">
        <v>90000</v>
      </c>
      <c r="F12">
        <v>110000</v>
      </c>
      <c r="G12">
        <v>200000</v>
      </c>
      <c r="H12"/>
    </row>
    <row r="13" spans="1:8" s="3" customFormat="1" ht="15" customHeight="1">
      <c r="A13" s="16"/>
      <c r="C13" t="s">
        <v>6</v>
      </c>
      <c r="D13" t="s">
        <v>8</v>
      </c>
      <c r="E13">
        <v>75000</v>
      </c>
      <c r="F13">
        <v>82000</v>
      </c>
      <c r="G13">
        <v>150000</v>
      </c>
      <c r="H13"/>
    </row>
    <row r="14" spans="1:8" s="3" customFormat="1" ht="15" customHeight="1">
      <c r="A14" s="16"/>
      <c r="C14"/>
      <c r="D14"/>
      <c r="E14"/>
      <c r="F14"/>
      <c r="G14"/>
      <c r="H14"/>
    </row>
    <row r="15" spans="1:8" s="3" customFormat="1" ht="15" customHeight="1">
      <c r="A15" s="16"/>
      <c r="C15"/>
      <c r="D15"/>
      <c r="E15"/>
      <c r="F15"/>
      <c r="G15"/>
      <c r="H15"/>
    </row>
    <row r="16" spans="1:8" s="3" customFormat="1" ht="15" customHeight="1">
      <c r="A16" s="16"/>
      <c r="C16"/>
      <c r="D16"/>
      <c r="E16"/>
      <c r="F16"/>
      <c r="G16"/>
      <c r="H16"/>
    </row>
    <row r="17" spans="1:8" s="3" customFormat="1" ht="15" customHeight="1">
      <c r="A17" s="16"/>
      <c r="C17"/>
      <c r="D17"/>
      <c r="E17"/>
      <c r="F17"/>
      <c r="G17"/>
      <c r="H17"/>
    </row>
    <row r="18" spans="1:8" s="3" customFormat="1" ht="15" customHeight="1">
      <c r="A18" s="16"/>
      <c r="C18"/>
      <c r="D18"/>
      <c r="E18"/>
      <c r="F18"/>
      <c r="G18"/>
      <c r="H18"/>
    </row>
    <row r="19" spans="1:8" s="3" customFormat="1" ht="15" customHeight="1">
      <c r="A19" s="16"/>
      <c r="C19"/>
      <c r="D19"/>
      <c r="E19"/>
      <c r="F19"/>
      <c r="G19"/>
      <c r="H19"/>
    </row>
    <row r="20" spans="1:8" s="3" customFormat="1" ht="15" customHeight="1">
      <c r="A20" s="16"/>
      <c r="C20"/>
      <c r="D20"/>
      <c r="E20"/>
      <c r="F20"/>
      <c r="G20"/>
      <c r="H20"/>
    </row>
    <row r="21" spans="1:8" s="3" customFormat="1" ht="15" customHeight="1">
      <c r="A21" s="16"/>
      <c r="C21"/>
      <c r="D21"/>
      <c r="E21"/>
      <c r="F21"/>
      <c r="G21"/>
      <c r="H21"/>
    </row>
    <row r="22" spans="1:8" s="3" customFormat="1" ht="15" customHeight="1">
      <c r="A22" s="16"/>
    </row>
    <row r="23" spans="1:8" s="3" customFormat="1" ht="15" customHeight="1">
      <c r="A23" s="16"/>
    </row>
    <row r="24" spans="1:8" s="3" customFormat="1" ht="15" customHeight="1">
      <c r="A24" s="16"/>
    </row>
    <row r="27" spans="1:8" ht="15" customHeight="1">
      <c r="A27" s="16" t="s">
        <v>194</v>
      </c>
    </row>
    <row r="28" spans="1:8" ht="15" customHeight="1">
      <c r="A28" s="16" t="s">
        <v>195</v>
      </c>
    </row>
    <row r="29" spans="1:8" ht="15" customHeight="1">
      <c r="A29" s="16" t="s">
        <v>309</v>
      </c>
    </row>
    <row r="30" spans="1:8" ht="15" customHeight="1">
      <c r="A30" s="16" t="s">
        <v>236</v>
      </c>
    </row>
    <row r="31" spans="1:8" ht="15" customHeight="1">
      <c r="A31" s="16" t="s">
        <v>310</v>
      </c>
    </row>
    <row r="32" spans="1:8" ht="15" customHeight="1">
      <c r="A32" s="16" t="s">
        <v>237</v>
      </c>
    </row>
    <row r="33" spans="1:8" ht="15" customHeight="1">
      <c r="A33" s="16" t="s">
        <v>196</v>
      </c>
      <c r="C33" s="27" t="s">
        <v>46</v>
      </c>
      <c r="D33" s="27" t="s">
        <v>26</v>
      </c>
      <c r="E33" s="27" t="s">
        <v>47</v>
      </c>
      <c r="F33" s="27" t="s">
        <v>48</v>
      </c>
      <c r="G33" s="27" t="s">
        <v>49</v>
      </c>
      <c r="H33" s="27" t="s">
        <v>55</v>
      </c>
    </row>
    <row r="34" spans="1:8" ht="15" customHeight="1">
      <c r="C34" s="5" t="s">
        <v>28</v>
      </c>
      <c r="D34" s="5" t="s">
        <v>50</v>
      </c>
      <c r="E34" s="28">
        <v>30000</v>
      </c>
      <c r="F34" s="28">
        <v>80000</v>
      </c>
      <c r="G34" s="28">
        <v>30000</v>
      </c>
      <c r="H34" s="36"/>
    </row>
    <row r="35" spans="1:8" ht="15" customHeight="1">
      <c r="C35" t="s">
        <v>28</v>
      </c>
      <c r="D35" t="s">
        <v>0</v>
      </c>
      <c r="E35" s="36">
        <v>10000</v>
      </c>
      <c r="F35" s="36">
        <v>30000</v>
      </c>
      <c r="G35" s="36">
        <v>40000</v>
      </c>
      <c r="H35" s="36"/>
    </row>
    <row r="36" spans="1:8" ht="15" customHeight="1">
      <c r="C36" s="5" t="s">
        <v>45</v>
      </c>
      <c r="D36" s="5" t="s">
        <v>51</v>
      </c>
      <c r="E36" s="28">
        <v>30000</v>
      </c>
      <c r="F36" s="28">
        <v>15000</v>
      </c>
      <c r="G36" s="28">
        <v>20000</v>
      </c>
      <c r="H36" s="36"/>
    </row>
    <row r="37" spans="1:8" ht="15" customHeight="1">
      <c r="C37" t="s">
        <v>45</v>
      </c>
      <c r="D37" t="s">
        <v>52</v>
      </c>
      <c r="E37" s="36">
        <v>25000</v>
      </c>
      <c r="F37" s="36">
        <v>80000</v>
      </c>
      <c r="G37" s="36">
        <v>120000</v>
      </c>
      <c r="H37" s="36"/>
    </row>
    <row r="38" spans="1:8" ht="15" customHeight="1">
      <c r="C38" s="5" t="s">
        <v>53</v>
      </c>
      <c r="D38" s="5" t="s">
        <v>64</v>
      </c>
      <c r="E38" s="28">
        <v>80000</v>
      </c>
      <c r="F38" s="28">
        <v>40000</v>
      </c>
      <c r="G38" s="28">
        <v>20000</v>
      </c>
      <c r="H38" s="36"/>
    </row>
    <row r="39" spans="1:8" ht="15" customHeight="1">
      <c r="C39" t="s">
        <v>53</v>
      </c>
      <c r="D39" t="s">
        <v>54</v>
      </c>
      <c r="E39" s="36">
        <v>90000</v>
      </c>
      <c r="F39" s="36">
        <v>35000</v>
      </c>
      <c r="G39" s="36">
        <v>25000</v>
      </c>
      <c r="H39" s="36"/>
    </row>
    <row r="40" spans="1:8" ht="15" customHeight="1">
      <c r="C40" s="5" t="s">
        <v>6</v>
      </c>
      <c r="D40" s="5" t="s">
        <v>7</v>
      </c>
      <c r="E40" s="28">
        <v>90000</v>
      </c>
      <c r="F40" s="28">
        <v>110000</v>
      </c>
      <c r="G40" s="28">
        <v>200000</v>
      </c>
      <c r="H40" s="36"/>
    </row>
    <row r="41" spans="1:8" ht="15" customHeight="1">
      <c r="C41" t="s">
        <v>6</v>
      </c>
      <c r="D41" t="s">
        <v>8</v>
      </c>
      <c r="E41" s="36">
        <v>75000</v>
      </c>
      <c r="F41" s="36">
        <v>82000</v>
      </c>
      <c r="G41" s="36">
        <v>150000</v>
      </c>
      <c r="H41" s="36"/>
    </row>
    <row r="47" spans="1:8" ht="15" customHeight="1">
      <c r="A47" s="16" t="s">
        <v>197</v>
      </c>
    </row>
    <row r="48" spans="1:8" ht="15" customHeight="1">
      <c r="A48" s="16" t="s">
        <v>198</v>
      </c>
    </row>
    <row r="49" spans="1:5" ht="15" customHeight="1">
      <c r="A49" s="16" t="s">
        <v>311</v>
      </c>
    </row>
    <row r="50" spans="1:5" ht="15" customHeight="1">
      <c r="A50" s="16" t="s">
        <v>238</v>
      </c>
    </row>
    <row r="51" spans="1:5" ht="15" customHeight="1">
      <c r="A51" s="16" t="s">
        <v>312</v>
      </c>
    </row>
    <row r="52" spans="1:5" ht="15" customHeight="1">
      <c r="A52" s="16" t="s">
        <v>313</v>
      </c>
    </row>
    <row r="53" spans="1:5" ht="15" customHeight="1">
      <c r="A53" s="16" t="s">
        <v>314</v>
      </c>
      <c r="C53" s="27" t="s">
        <v>46</v>
      </c>
      <c r="D53" s="27" t="s">
        <v>26</v>
      </c>
      <c r="E53" s="27" t="s">
        <v>56</v>
      </c>
    </row>
    <row r="54" spans="1:5" ht="15" customHeight="1">
      <c r="A54" s="16" t="s">
        <v>239</v>
      </c>
      <c r="C54" s="5" t="s">
        <v>28</v>
      </c>
      <c r="D54" s="5" t="s">
        <v>50</v>
      </c>
      <c r="E54" s="36">
        <v>1000</v>
      </c>
    </row>
    <row r="55" spans="1:5" ht="15" customHeight="1">
      <c r="A55" s="16" t="s">
        <v>315</v>
      </c>
      <c r="C55" t="s">
        <v>28</v>
      </c>
      <c r="D55" t="s">
        <v>0</v>
      </c>
      <c r="E55" s="36">
        <v>2000</v>
      </c>
    </row>
    <row r="56" spans="1:5" ht="15" customHeight="1">
      <c r="A56" s="16" t="s">
        <v>240</v>
      </c>
      <c r="C56" s="5" t="s">
        <v>45</v>
      </c>
      <c r="D56" s="5" t="s">
        <v>51</v>
      </c>
      <c r="E56" s="36">
        <v>3000</v>
      </c>
    </row>
    <row r="57" spans="1:5" ht="15" customHeight="1">
      <c r="A57" s="16" t="s">
        <v>182</v>
      </c>
      <c r="C57" t="s">
        <v>45</v>
      </c>
      <c r="D57" t="s">
        <v>52</v>
      </c>
      <c r="E57" s="36">
        <v>1000</v>
      </c>
    </row>
    <row r="58" spans="1:5" ht="15" customHeight="1">
      <c r="C58" s="5" t="s">
        <v>53</v>
      </c>
      <c r="D58" s="5" t="s">
        <v>64</v>
      </c>
      <c r="E58" s="36">
        <v>2000</v>
      </c>
    </row>
    <row r="59" spans="1:5" ht="15" customHeight="1">
      <c r="C59" t="s">
        <v>53</v>
      </c>
      <c r="D59" t="s">
        <v>54</v>
      </c>
      <c r="E59" s="36">
        <v>3000</v>
      </c>
    </row>
    <row r="60" spans="1:5" ht="15" customHeight="1">
      <c r="C60" s="5" t="s">
        <v>6</v>
      </c>
      <c r="D60" s="5" t="s">
        <v>7</v>
      </c>
      <c r="E60" s="36">
        <v>4000</v>
      </c>
    </row>
    <row r="61" spans="1:5" ht="15" customHeight="1">
      <c r="C61" t="s">
        <v>6</v>
      </c>
      <c r="D61" t="s">
        <v>8</v>
      </c>
      <c r="E61" s="36">
        <v>8000</v>
      </c>
    </row>
    <row r="72" spans="1:2" ht="15" customHeight="1">
      <c r="A72" s="16" t="s">
        <v>113</v>
      </c>
    </row>
    <row r="73" spans="1:2" ht="15" customHeight="1">
      <c r="A73" s="16" t="s">
        <v>199</v>
      </c>
    </row>
    <row r="74" spans="1:2" ht="15" customHeight="1">
      <c r="A74" s="16" t="s">
        <v>200</v>
      </c>
    </row>
    <row r="75" spans="1:2" ht="15" customHeight="1">
      <c r="A75" s="16" t="s">
        <v>201</v>
      </c>
    </row>
    <row r="76" spans="1:2" ht="15" customHeight="1">
      <c r="A76" s="16" t="s">
        <v>112</v>
      </c>
      <c r="B76" t="s">
        <v>170</v>
      </c>
    </row>
  </sheetData>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defaultColWidth="8.85546875" defaultRowHeight="15" customHeight="1"/>
  <cols>
    <col min="1" max="1" width="12.7109375" style="16" customWidth="1"/>
    <col min="2" max="2" width="82.85546875" customWidth="1"/>
    <col min="3" max="4" width="11.7109375" customWidth="1"/>
    <col min="5" max="6" width="13.85546875" customWidth="1"/>
  </cols>
  <sheetData>
    <row r="1" spans="1:6" ht="60" customHeight="1">
      <c r="A1" s="16" t="s">
        <v>132</v>
      </c>
    </row>
    <row r="2" spans="1:6" ht="15" customHeight="1">
      <c r="A2" s="16" t="s">
        <v>202</v>
      </c>
    </row>
    <row r="3" spans="1:6" ht="15" customHeight="1">
      <c r="A3" s="16" t="s">
        <v>316</v>
      </c>
      <c r="C3" s="27" t="s">
        <v>57</v>
      </c>
      <c r="D3" s="27" t="s">
        <v>46</v>
      </c>
    </row>
    <row r="4" spans="1:6" ht="15" customHeight="1">
      <c r="A4" s="16" t="s">
        <v>203</v>
      </c>
      <c r="C4" s="6" t="s">
        <v>2</v>
      </c>
      <c r="D4" s="7"/>
    </row>
    <row r="5" spans="1:6" s="3" customFormat="1" ht="15" customHeight="1">
      <c r="A5" s="16" t="s">
        <v>317</v>
      </c>
      <c r="B5"/>
      <c r="C5" s="6" t="s">
        <v>7</v>
      </c>
      <c r="D5" s="7"/>
      <c r="F5"/>
    </row>
    <row r="6" spans="1:6" s="3" customFormat="1" ht="15" customHeight="1">
      <c r="A6" s="16" t="s">
        <v>376</v>
      </c>
      <c r="B6"/>
      <c r="C6" s="6" t="s">
        <v>4</v>
      </c>
      <c r="D6" s="7"/>
      <c r="F6"/>
    </row>
    <row r="7" spans="1:6" s="3" customFormat="1" ht="15" customHeight="1">
      <c r="A7" s="16" t="s">
        <v>318</v>
      </c>
      <c r="B7"/>
      <c r="C7" s="6" t="s">
        <v>5</v>
      </c>
      <c r="D7" s="7"/>
      <c r="F7"/>
    </row>
    <row r="8" spans="1:6" s="3" customFormat="1" ht="15" customHeight="1">
      <c r="A8" s="16" t="s">
        <v>336</v>
      </c>
      <c r="B8"/>
      <c r="C8" s="6" t="s">
        <v>58</v>
      </c>
      <c r="D8" s="7"/>
      <c r="F8"/>
    </row>
    <row r="9" spans="1:6" s="3" customFormat="1" ht="15" customHeight="1">
      <c r="A9" s="16" t="s">
        <v>241</v>
      </c>
      <c r="B9"/>
      <c r="C9" s="6" t="s">
        <v>59</v>
      </c>
      <c r="D9" s="7"/>
      <c r="F9"/>
    </row>
    <row r="10" spans="1:6" s="3" customFormat="1" ht="15" customHeight="1">
      <c r="A10" s="16" t="s">
        <v>118</v>
      </c>
      <c r="B10"/>
      <c r="C10" s="6" t="s">
        <v>60</v>
      </c>
      <c r="D10" s="7"/>
      <c r="F10"/>
    </row>
    <row r="11" spans="1:6" s="3" customFormat="1" ht="15" customHeight="1">
      <c r="A11" s="16"/>
      <c r="B11"/>
      <c r="C11" s="6" t="s">
        <v>12</v>
      </c>
      <c r="D11" s="7"/>
      <c r="F11"/>
    </row>
    <row r="12" spans="1:6" s="3" customFormat="1" ht="15" customHeight="1">
      <c r="A12" s="16"/>
      <c r="B12"/>
      <c r="C12" s="6" t="s">
        <v>8</v>
      </c>
      <c r="D12" s="7"/>
      <c r="F12"/>
    </row>
    <row r="13" spans="1:6" s="3" customFormat="1" ht="15" customHeight="1">
      <c r="A13" s="16"/>
      <c r="B13"/>
      <c r="C13" s="6" t="s">
        <v>14</v>
      </c>
      <c r="D13" s="7"/>
      <c r="F13"/>
    </row>
    <row r="14" spans="1:6" s="3" customFormat="1" ht="15" customHeight="1">
      <c r="A14" s="16"/>
      <c r="B14"/>
      <c r="C14" s="6" t="s">
        <v>15</v>
      </c>
      <c r="D14" s="7"/>
      <c r="F14"/>
    </row>
    <row r="15" spans="1:6" s="3" customFormat="1" ht="15" customHeight="1">
      <c r="A15" s="16"/>
      <c r="B15"/>
      <c r="C15" s="6" t="s">
        <v>16</v>
      </c>
      <c r="D15" s="7"/>
      <c r="F15"/>
    </row>
    <row r="16" spans="1:6" s="3" customFormat="1" ht="15" customHeight="1">
      <c r="A16" s="16"/>
      <c r="B16"/>
    </row>
    <row r="17" spans="1:6" s="3" customFormat="1" ht="15" customHeight="1">
      <c r="A17" s="16"/>
      <c r="B17"/>
    </row>
    <row r="18" spans="1:6" s="3" customFormat="1" ht="15" customHeight="1">
      <c r="A18" s="16"/>
      <c r="B18"/>
      <c r="C18"/>
      <c r="D18"/>
      <c r="E18"/>
      <c r="F18"/>
    </row>
    <row r="19" spans="1:6" s="3" customFormat="1" ht="15" customHeight="1">
      <c r="A19" s="16"/>
      <c r="B19"/>
      <c r="C19"/>
      <c r="D19"/>
      <c r="E19"/>
      <c r="F19"/>
    </row>
    <row r="20" spans="1:6" s="3" customFormat="1" ht="15" customHeight="1">
      <c r="A20" s="16"/>
      <c r="B20"/>
      <c r="C20"/>
      <c r="D20"/>
      <c r="E20"/>
      <c r="F20"/>
    </row>
    <row r="21" spans="1:6" s="3" customFormat="1" ht="15" customHeight="1">
      <c r="A21" s="16"/>
      <c r="B21"/>
      <c r="C21"/>
      <c r="D21"/>
      <c r="E21"/>
      <c r="F21"/>
    </row>
    <row r="22" spans="1:6" s="3" customFormat="1" ht="15" customHeight="1">
      <c r="A22" s="16"/>
      <c r="B22"/>
    </row>
    <row r="23" spans="1:6" s="3" customFormat="1" ht="15" customHeight="1">
      <c r="A23" s="16"/>
      <c r="B23"/>
    </row>
    <row r="24" spans="1:6" s="3" customFormat="1" ht="15" customHeight="1">
      <c r="A24" s="16"/>
      <c r="B24"/>
    </row>
    <row r="27" spans="1:6" ht="15" customHeight="1">
      <c r="A27" s="16" t="s">
        <v>204</v>
      </c>
    </row>
    <row r="28" spans="1:6" ht="15" customHeight="1">
      <c r="A28" s="16" t="s">
        <v>205</v>
      </c>
    </row>
    <row r="29" spans="1:6" ht="15" customHeight="1">
      <c r="A29" s="16" t="s">
        <v>319</v>
      </c>
    </row>
    <row r="30" spans="1:6" ht="15" customHeight="1">
      <c r="A30" s="16" t="s">
        <v>242</v>
      </c>
    </row>
    <row r="31" spans="1:6" ht="15" customHeight="1">
      <c r="A31" s="16" t="s">
        <v>244</v>
      </c>
      <c r="C31" s="27" t="s">
        <v>57</v>
      </c>
      <c r="D31" s="27" t="s">
        <v>46</v>
      </c>
      <c r="F31" s="44" t="s">
        <v>46</v>
      </c>
    </row>
    <row r="32" spans="1:6" ht="15" customHeight="1">
      <c r="A32" s="16" t="s">
        <v>243</v>
      </c>
      <c r="C32" s="6" t="s">
        <v>2</v>
      </c>
      <c r="D32" s="6"/>
      <c r="F32" s="8" t="s">
        <v>28</v>
      </c>
    </row>
    <row r="33" spans="1:6" ht="15" customHeight="1">
      <c r="A33" s="16" t="s">
        <v>377</v>
      </c>
      <c r="C33" s="6" t="s">
        <v>7</v>
      </c>
      <c r="D33" s="6"/>
      <c r="F33" s="6" t="s">
        <v>6</v>
      </c>
    </row>
    <row r="34" spans="1:6" ht="15" customHeight="1">
      <c r="A34" s="16" t="s">
        <v>320</v>
      </c>
      <c r="C34" s="6" t="s">
        <v>4</v>
      </c>
      <c r="D34" s="6"/>
      <c r="F34" s="8" t="s">
        <v>45</v>
      </c>
    </row>
    <row r="35" spans="1:6" ht="15" customHeight="1">
      <c r="A35" s="16" t="s">
        <v>245</v>
      </c>
      <c r="C35" s="6" t="s">
        <v>5</v>
      </c>
      <c r="D35" s="6"/>
    </row>
    <row r="36" spans="1:6" ht="15" customHeight="1">
      <c r="A36" s="16" t="s">
        <v>246</v>
      </c>
      <c r="C36" s="6" t="s">
        <v>58</v>
      </c>
      <c r="D36" s="6"/>
    </row>
    <row r="37" spans="1:6" ht="15" customHeight="1">
      <c r="A37" s="16" t="s">
        <v>247</v>
      </c>
      <c r="C37" s="6" t="s">
        <v>59</v>
      </c>
      <c r="D37" s="6"/>
    </row>
    <row r="38" spans="1:6" ht="15" customHeight="1">
      <c r="A38" s="16" t="s">
        <v>206</v>
      </c>
      <c r="C38" s="6" t="s">
        <v>60</v>
      </c>
      <c r="D38" s="6"/>
    </row>
    <row r="39" spans="1:6" ht="15" customHeight="1">
      <c r="C39" s="6" t="s">
        <v>12</v>
      </c>
      <c r="D39" s="6"/>
    </row>
    <row r="40" spans="1:6" ht="15" customHeight="1">
      <c r="C40" s="6" t="s">
        <v>8</v>
      </c>
      <c r="D40" s="6"/>
    </row>
    <row r="41" spans="1:6" ht="15" customHeight="1">
      <c r="C41" s="6" t="s">
        <v>14</v>
      </c>
      <c r="D41" s="6"/>
    </row>
    <row r="42" spans="1:6" ht="15" customHeight="1">
      <c r="C42" s="6" t="s">
        <v>15</v>
      </c>
      <c r="D42" s="6"/>
    </row>
    <row r="43" spans="1:6" ht="15" customHeight="1">
      <c r="C43" s="6" t="s">
        <v>16</v>
      </c>
      <c r="D43" s="6"/>
    </row>
    <row r="60" spans="1:1" ht="15" customHeight="1">
      <c r="A60" s="16" t="s">
        <v>113</v>
      </c>
    </row>
    <row r="61" spans="1:1" ht="15" customHeight="1">
      <c r="A61" s="16" t="s">
        <v>207</v>
      </c>
    </row>
    <row r="62" spans="1:1" ht="15" customHeight="1">
      <c r="A62" s="16" t="s">
        <v>208</v>
      </c>
    </row>
    <row r="63" spans="1:1" ht="15" customHeight="1">
      <c r="A63" s="16" t="s">
        <v>112</v>
      </c>
    </row>
  </sheetData>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defaultColWidth="8.85546875" defaultRowHeight="15" customHeight="1"/>
  <cols>
    <col min="1" max="1" width="12.7109375" style="16" customWidth="1"/>
    <col min="2" max="2" width="82.85546875" customWidth="1"/>
    <col min="3" max="3" width="13.85546875" customWidth="1"/>
    <col min="4" max="4" width="11" customWidth="1"/>
    <col min="5" max="5" width="10.85546875" customWidth="1"/>
    <col min="6" max="7" width="11.85546875" customWidth="1"/>
  </cols>
  <sheetData>
    <row r="1" spans="1:7" ht="60" customHeight="1">
      <c r="A1" s="16" t="s">
        <v>133</v>
      </c>
    </row>
    <row r="2" spans="1:7" ht="15" customHeight="1">
      <c r="A2" s="16" t="s">
        <v>209</v>
      </c>
    </row>
    <row r="3" spans="1:7" ht="15" customHeight="1">
      <c r="A3" s="16" t="s">
        <v>321</v>
      </c>
    </row>
    <row r="4" spans="1:7" ht="15" customHeight="1">
      <c r="A4" s="16" t="s">
        <v>252</v>
      </c>
    </row>
    <row r="5" spans="1:7" s="3" customFormat="1" ht="15" customHeight="1">
      <c r="A5" s="16" t="s">
        <v>353</v>
      </c>
      <c r="B5"/>
      <c r="C5" t="s">
        <v>46</v>
      </c>
      <c r="D5" t="s">
        <v>26</v>
      </c>
      <c r="E5" t="s">
        <v>47</v>
      </c>
      <c r="F5" t="s">
        <v>48</v>
      </c>
      <c r="G5" t="s">
        <v>49</v>
      </c>
    </row>
    <row r="6" spans="1:7" s="3" customFormat="1" ht="15" customHeight="1">
      <c r="A6" s="16" t="s">
        <v>248</v>
      </c>
      <c r="B6"/>
      <c r="C6" t="s">
        <v>28</v>
      </c>
      <c r="D6" t="s">
        <v>50</v>
      </c>
      <c r="E6" s="36">
        <v>30000</v>
      </c>
      <c r="F6" s="36">
        <v>80000</v>
      </c>
      <c r="G6" s="36">
        <v>30000</v>
      </c>
    </row>
    <row r="7" spans="1:7" s="3" customFormat="1" ht="15" customHeight="1">
      <c r="A7" s="16" t="s">
        <v>249</v>
      </c>
      <c r="B7"/>
      <c r="C7" t="s">
        <v>28</v>
      </c>
      <c r="D7" t="s">
        <v>0</v>
      </c>
      <c r="E7" s="36">
        <v>10000</v>
      </c>
      <c r="F7" s="36">
        <v>30000</v>
      </c>
      <c r="G7" s="36">
        <v>40000</v>
      </c>
    </row>
    <row r="8" spans="1:7" s="3" customFormat="1" ht="15" customHeight="1">
      <c r="A8" s="16" t="s">
        <v>354</v>
      </c>
      <c r="B8"/>
      <c r="C8" t="s">
        <v>45</v>
      </c>
      <c r="D8" t="s">
        <v>51</v>
      </c>
      <c r="E8" s="36">
        <v>30000</v>
      </c>
      <c r="F8" s="36">
        <v>15000</v>
      </c>
      <c r="G8" s="36">
        <v>20000</v>
      </c>
    </row>
    <row r="9" spans="1:7" s="3" customFormat="1" ht="15" customHeight="1">
      <c r="A9" s="16" t="s">
        <v>250</v>
      </c>
      <c r="B9"/>
      <c r="C9" t="s">
        <v>45</v>
      </c>
      <c r="D9" t="s">
        <v>52</v>
      </c>
      <c r="E9" s="36">
        <v>25000</v>
      </c>
      <c r="F9" s="36">
        <v>80000</v>
      </c>
      <c r="G9" s="36">
        <v>120000</v>
      </c>
    </row>
    <row r="10" spans="1:7" s="3" customFormat="1" ht="15" customHeight="1">
      <c r="A10" s="16" t="s">
        <v>118</v>
      </c>
      <c r="B10"/>
      <c r="C10" t="s">
        <v>53</v>
      </c>
      <c r="D10" t="s">
        <v>65</v>
      </c>
      <c r="E10" s="36">
        <v>80000</v>
      </c>
      <c r="F10" s="36">
        <v>40000</v>
      </c>
      <c r="G10" s="36">
        <v>20000</v>
      </c>
    </row>
    <row r="11" spans="1:7" s="3" customFormat="1" ht="15" customHeight="1">
      <c r="A11" s="16"/>
      <c r="B11"/>
      <c r="C11" t="s">
        <v>53</v>
      </c>
      <c r="D11" t="s">
        <v>54</v>
      </c>
      <c r="E11" s="36">
        <v>90000</v>
      </c>
      <c r="F11" s="36">
        <v>35000</v>
      </c>
      <c r="G11" s="36">
        <v>25000</v>
      </c>
    </row>
    <row r="12" spans="1:7" s="3" customFormat="1" ht="15" customHeight="1">
      <c r="A12" s="16"/>
      <c r="B12"/>
      <c r="C12" t="s">
        <v>6</v>
      </c>
      <c r="D12" t="s">
        <v>7</v>
      </c>
      <c r="E12" s="36">
        <v>90000</v>
      </c>
      <c r="F12" s="36">
        <v>110000</v>
      </c>
      <c r="G12" s="36">
        <v>200000</v>
      </c>
    </row>
    <row r="13" spans="1:7" s="3" customFormat="1" ht="15" customHeight="1">
      <c r="A13" s="16"/>
      <c r="B13"/>
      <c r="C13" t="s">
        <v>6</v>
      </c>
      <c r="D13" t="s">
        <v>8</v>
      </c>
      <c r="E13" s="36">
        <v>75000</v>
      </c>
      <c r="F13" s="36">
        <v>82000</v>
      </c>
      <c r="G13" s="36">
        <v>150000</v>
      </c>
    </row>
    <row r="14" spans="1:7" s="3" customFormat="1" ht="15" customHeight="1">
      <c r="A14" s="16"/>
      <c r="B14"/>
      <c r="C14"/>
      <c r="D14"/>
      <c r="E14"/>
      <c r="F14"/>
      <c r="G14"/>
    </row>
    <row r="15" spans="1:7" s="3" customFormat="1" ht="15" customHeight="1">
      <c r="A15" s="16"/>
      <c r="B15"/>
      <c r="C15"/>
      <c r="D15"/>
      <c r="E15"/>
      <c r="F15"/>
      <c r="G15"/>
    </row>
    <row r="16" spans="1:7" s="3" customFormat="1" ht="15" customHeight="1">
      <c r="A16" s="16"/>
      <c r="B16"/>
      <c r="C16"/>
      <c r="D16"/>
      <c r="E16"/>
      <c r="F16"/>
      <c r="G16"/>
    </row>
    <row r="17" spans="1:7" s="3" customFormat="1" ht="15" customHeight="1">
      <c r="A17" s="16"/>
      <c r="B17"/>
      <c r="C17"/>
      <c r="D17"/>
      <c r="E17"/>
      <c r="F17"/>
      <c r="G17"/>
    </row>
    <row r="18" spans="1:7" s="3" customFormat="1" ht="15" customHeight="1">
      <c r="A18" s="16"/>
      <c r="B18"/>
      <c r="C18"/>
      <c r="D18"/>
      <c r="E18"/>
      <c r="F18"/>
      <c r="G18"/>
    </row>
    <row r="19" spans="1:7" s="3" customFormat="1" ht="15" customHeight="1">
      <c r="A19" s="16"/>
      <c r="B19"/>
      <c r="C19"/>
      <c r="D19"/>
      <c r="E19"/>
      <c r="F19"/>
      <c r="G19"/>
    </row>
    <row r="20" spans="1:7" s="3" customFormat="1" ht="15" customHeight="1">
      <c r="A20" s="16"/>
      <c r="B20"/>
      <c r="C20"/>
      <c r="D20"/>
      <c r="E20"/>
      <c r="F20"/>
      <c r="G20"/>
    </row>
    <row r="21" spans="1:7" s="3" customFormat="1" ht="15" customHeight="1">
      <c r="A21" s="16"/>
      <c r="B21"/>
      <c r="C21"/>
      <c r="D21"/>
      <c r="E21"/>
      <c r="F21"/>
      <c r="G21"/>
    </row>
    <row r="22" spans="1:7" s="3" customFormat="1" ht="15" customHeight="1">
      <c r="A22" s="16"/>
      <c r="B22"/>
    </row>
    <row r="23" spans="1:7" s="3" customFormat="1" ht="15" customHeight="1">
      <c r="A23" s="16"/>
      <c r="B23"/>
    </row>
    <row r="24" spans="1:7" s="3" customFormat="1" ht="15" customHeight="1">
      <c r="A24" s="16"/>
      <c r="B24"/>
    </row>
    <row r="27" spans="1:7" ht="15" customHeight="1">
      <c r="A27" s="16" t="s">
        <v>210</v>
      </c>
    </row>
    <row r="28" spans="1:7" ht="15" customHeight="1">
      <c r="A28" s="16" t="s">
        <v>251</v>
      </c>
    </row>
    <row r="29" spans="1:7" ht="15" customHeight="1">
      <c r="A29" s="16" t="s">
        <v>322</v>
      </c>
    </row>
    <row r="30" spans="1:7" ht="15" customHeight="1">
      <c r="A30" s="16" t="s">
        <v>253</v>
      </c>
    </row>
    <row r="31" spans="1:7" ht="15" customHeight="1">
      <c r="A31" s="16" t="s">
        <v>254</v>
      </c>
    </row>
    <row r="32" spans="1:7" ht="15" customHeight="1">
      <c r="A32" s="16" t="s">
        <v>255</v>
      </c>
    </row>
    <row r="33" spans="1:7" ht="15" customHeight="1">
      <c r="A33" s="16" t="s">
        <v>337</v>
      </c>
    </row>
    <row r="34" spans="1:7" ht="15" customHeight="1">
      <c r="A34" s="16" t="s">
        <v>196</v>
      </c>
      <c r="C34" t="s">
        <v>46</v>
      </c>
      <c r="D34" t="s">
        <v>26</v>
      </c>
      <c r="E34" t="s">
        <v>47</v>
      </c>
      <c r="F34" t="s">
        <v>48</v>
      </c>
      <c r="G34" t="s">
        <v>49</v>
      </c>
    </row>
    <row r="35" spans="1:7" ht="15" customHeight="1">
      <c r="C35" t="s">
        <v>45</v>
      </c>
      <c r="D35" t="s">
        <v>51</v>
      </c>
      <c r="E35" s="36">
        <v>30000</v>
      </c>
      <c r="F35" s="36">
        <v>15000</v>
      </c>
      <c r="G35" s="36">
        <v>20000</v>
      </c>
    </row>
    <row r="36" spans="1:7" ht="15" customHeight="1">
      <c r="C36" t="s">
        <v>45</v>
      </c>
      <c r="D36" t="s">
        <v>52</v>
      </c>
      <c r="E36" s="36">
        <v>25000</v>
      </c>
      <c r="F36" s="36">
        <v>80000</v>
      </c>
      <c r="G36" s="36">
        <v>120000</v>
      </c>
    </row>
    <row r="37" spans="1:7" ht="15" customHeight="1">
      <c r="C37" t="s">
        <v>53</v>
      </c>
      <c r="D37" t="s">
        <v>64</v>
      </c>
      <c r="E37" s="36">
        <v>80000</v>
      </c>
      <c r="F37" s="36">
        <v>40000</v>
      </c>
      <c r="G37" s="36">
        <v>20000</v>
      </c>
    </row>
    <row r="38" spans="1:7" ht="15" customHeight="1">
      <c r="C38" t="s">
        <v>53</v>
      </c>
      <c r="D38" t="s">
        <v>54</v>
      </c>
      <c r="E38" s="36">
        <v>90000</v>
      </c>
      <c r="F38" s="36">
        <v>35000</v>
      </c>
      <c r="G38" s="36">
        <v>25000</v>
      </c>
    </row>
    <row r="39" spans="1:7" ht="15" customHeight="1">
      <c r="C39" t="s">
        <v>6</v>
      </c>
      <c r="D39" t="s">
        <v>7</v>
      </c>
      <c r="E39" s="36">
        <v>90000</v>
      </c>
      <c r="F39" s="36">
        <v>110000</v>
      </c>
      <c r="G39" s="36">
        <v>200000</v>
      </c>
    </row>
    <row r="40" spans="1:7" ht="15" customHeight="1">
      <c r="C40" t="s">
        <v>6</v>
      </c>
      <c r="D40" t="s">
        <v>8</v>
      </c>
      <c r="E40" s="36">
        <v>75000</v>
      </c>
      <c r="F40" s="36">
        <v>82000</v>
      </c>
      <c r="G40" s="36">
        <v>150000</v>
      </c>
    </row>
    <row r="41" spans="1:7" ht="15" customHeight="1">
      <c r="C41" t="s">
        <v>28</v>
      </c>
      <c r="D41" t="s">
        <v>50</v>
      </c>
      <c r="E41" s="36">
        <v>30000</v>
      </c>
      <c r="F41" s="36">
        <v>80000</v>
      </c>
      <c r="G41" s="36">
        <v>30000</v>
      </c>
    </row>
    <row r="42" spans="1:7" ht="15" customHeight="1">
      <c r="C42" t="s">
        <v>28</v>
      </c>
      <c r="D42" t="s">
        <v>0</v>
      </c>
      <c r="E42" s="36">
        <v>10000</v>
      </c>
      <c r="F42" s="36">
        <v>30000</v>
      </c>
      <c r="G42" s="36">
        <v>40000</v>
      </c>
    </row>
    <row r="47" spans="1:7" ht="15" customHeight="1">
      <c r="A47" s="16" t="s">
        <v>211</v>
      </c>
    </row>
    <row r="48" spans="1:7" ht="15" customHeight="1">
      <c r="A48" s="16" t="s">
        <v>212</v>
      </c>
    </row>
    <row r="49" spans="1:7" ht="15" customHeight="1">
      <c r="A49" s="16" t="s">
        <v>323</v>
      </c>
    </row>
    <row r="50" spans="1:7" ht="15" customHeight="1">
      <c r="A50" s="16" t="s">
        <v>256</v>
      </c>
    </row>
    <row r="51" spans="1:7" ht="15" customHeight="1">
      <c r="A51" s="16" t="s">
        <v>257</v>
      </c>
    </row>
    <row r="52" spans="1:7" ht="15" customHeight="1">
      <c r="A52" s="16" t="s">
        <v>258</v>
      </c>
    </row>
    <row r="53" spans="1:7" ht="15" customHeight="1">
      <c r="A53" s="16" t="s">
        <v>324</v>
      </c>
    </row>
    <row r="54" spans="1:7" ht="15" customHeight="1">
      <c r="A54" s="16" t="s">
        <v>215</v>
      </c>
      <c r="C54" t="s">
        <v>46</v>
      </c>
      <c r="D54" t="s">
        <v>26</v>
      </c>
      <c r="E54" t="s">
        <v>47</v>
      </c>
      <c r="F54" t="s">
        <v>48</v>
      </c>
      <c r="G54" t="s">
        <v>49</v>
      </c>
    </row>
    <row r="55" spans="1:7" ht="15" customHeight="1">
      <c r="C55" t="s">
        <v>45</v>
      </c>
      <c r="D55" t="s">
        <v>51</v>
      </c>
      <c r="E55" s="36">
        <v>30000</v>
      </c>
      <c r="F55" s="36">
        <v>15000</v>
      </c>
      <c r="G55" s="36">
        <v>20000</v>
      </c>
    </row>
    <row r="56" spans="1:7" ht="15" customHeight="1">
      <c r="C56" t="s">
        <v>45</v>
      </c>
      <c r="D56" t="s">
        <v>52</v>
      </c>
      <c r="E56" s="36">
        <v>25000</v>
      </c>
      <c r="F56" s="36">
        <v>80000</v>
      </c>
      <c r="G56" s="36">
        <v>120000</v>
      </c>
    </row>
    <row r="57" spans="1:7" ht="15" customHeight="1">
      <c r="C57" t="s">
        <v>53</v>
      </c>
      <c r="D57" t="s">
        <v>64</v>
      </c>
      <c r="E57" s="36">
        <v>80000</v>
      </c>
      <c r="F57" s="36">
        <v>40000</v>
      </c>
      <c r="G57" s="36">
        <v>20000</v>
      </c>
    </row>
    <row r="58" spans="1:7" ht="15" customHeight="1">
      <c r="C58" t="s">
        <v>53</v>
      </c>
      <c r="D58" t="s">
        <v>54</v>
      </c>
      <c r="E58" s="36">
        <v>90000</v>
      </c>
      <c r="F58" s="36">
        <v>35000</v>
      </c>
      <c r="G58" s="36">
        <v>25000</v>
      </c>
    </row>
    <row r="59" spans="1:7" ht="15" customHeight="1">
      <c r="C59" t="s">
        <v>6</v>
      </c>
      <c r="D59" t="s">
        <v>7</v>
      </c>
      <c r="E59" s="36">
        <v>90000</v>
      </c>
      <c r="F59" s="36">
        <v>110000</v>
      </c>
      <c r="G59" s="36">
        <v>200000</v>
      </c>
    </row>
    <row r="60" spans="1:7" ht="15" customHeight="1">
      <c r="C60" t="s">
        <v>6</v>
      </c>
      <c r="D60" t="s">
        <v>8</v>
      </c>
      <c r="E60" s="36">
        <v>75000</v>
      </c>
      <c r="F60" s="36">
        <v>82000</v>
      </c>
      <c r="G60" s="36">
        <v>150000</v>
      </c>
    </row>
    <row r="61" spans="1:7" ht="15" customHeight="1">
      <c r="C61" t="s">
        <v>28</v>
      </c>
      <c r="D61" t="s">
        <v>50</v>
      </c>
      <c r="E61" s="36">
        <v>30000</v>
      </c>
      <c r="F61" s="36">
        <v>80000</v>
      </c>
      <c r="G61" s="36">
        <v>30000</v>
      </c>
    </row>
    <row r="62" spans="1:7" ht="15" customHeight="1">
      <c r="C62" t="s">
        <v>28</v>
      </c>
      <c r="D62" t="s">
        <v>0</v>
      </c>
      <c r="E62" s="36">
        <v>10000</v>
      </c>
      <c r="F62" s="36">
        <v>30000</v>
      </c>
      <c r="G62" s="36">
        <v>40000</v>
      </c>
    </row>
    <row r="68" spans="1:1" ht="15" customHeight="1">
      <c r="A68" s="16" t="s">
        <v>113</v>
      </c>
    </row>
    <row r="69" spans="1:1" ht="15" customHeight="1">
      <c r="A69" s="16" t="s">
        <v>213</v>
      </c>
    </row>
    <row r="70" spans="1:1" ht="15" customHeight="1">
      <c r="A70" s="16" t="s">
        <v>214</v>
      </c>
    </row>
    <row r="71" spans="1:1" ht="15" customHeight="1">
      <c r="A71" s="16" t="s">
        <v>112</v>
      </c>
    </row>
  </sheetData>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3"/>
  <sheetViews>
    <sheetView showGridLines="0" zoomScaleNormal="100" zoomScalePageLayoutView="125" workbookViewId="0"/>
  </sheetViews>
  <sheetFormatPr defaultColWidth="8.85546875" defaultRowHeight="15" customHeight="1"/>
  <cols>
    <col min="1" max="1" width="12.7109375" style="16" customWidth="1"/>
    <col min="2" max="2" width="82.85546875" customWidth="1"/>
    <col min="3" max="3" width="13.85546875" customWidth="1"/>
    <col min="4" max="4" width="24.42578125" customWidth="1"/>
    <col min="5" max="5" width="23.85546875" customWidth="1"/>
    <col min="6" max="6" width="15.5703125" customWidth="1"/>
  </cols>
  <sheetData>
    <row r="1" spans="1:6" ht="60" customHeight="1">
      <c r="A1" s="16" t="s">
        <v>134</v>
      </c>
    </row>
    <row r="2" spans="1:6" ht="15" customHeight="1">
      <c r="A2" s="16" t="s">
        <v>344</v>
      </c>
    </row>
    <row r="3" spans="1:6" ht="15" customHeight="1">
      <c r="A3" s="16" t="s">
        <v>259</v>
      </c>
    </row>
    <row r="4" spans="1:6" ht="15" customHeight="1">
      <c r="A4" s="16" t="s">
        <v>345</v>
      </c>
    </row>
    <row r="5" spans="1:6" s="3" customFormat="1" ht="15" customHeight="1">
      <c r="A5" s="16" t="s">
        <v>325</v>
      </c>
      <c r="B5"/>
      <c r="C5" t="s">
        <v>84</v>
      </c>
      <c r="D5" t="s">
        <v>85</v>
      </c>
      <c r="E5"/>
      <c r="F5"/>
    </row>
    <row r="6" spans="1:6" s="3" customFormat="1" ht="15" customHeight="1">
      <c r="A6" s="16" t="s">
        <v>362</v>
      </c>
      <c r="B6"/>
      <c r="C6">
        <f ca="1">YEAR(TODAY())-5</f>
        <v>2021</v>
      </c>
      <c r="D6">
        <v>500</v>
      </c>
      <c r="E6"/>
      <c r="F6"/>
    </row>
    <row r="7" spans="1:6" s="3" customFormat="1" ht="15" customHeight="1">
      <c r="A7" s="16" t="s">
        <v>346</v>
      </c>
      <c r="B7"/>
      <c r="C7">
        <f ca="1">YEAR(TODAY())-4</f>
        <v>2022</v>
      </c>
      <c r="D7">
        <v>800</v>
      </c>
      <c r="E7"/>
      <c r="F7"/>
    </row>
    <row r="8" spans="1:6" s="3" customFormat="1" ht="15" customHeight="1">
      <c r="A8" s="16" t="s">
        <v>260</v>
      </c>
      <c r="B8"/>
      <c r="C8">
        <f ca="1">YEAR(TODAY())-3</f>
        <v>2023</v>
      </c>
      <c r="D8">
        <v>1000</v>
      </c>
      <c r="E8"/>
      <c r="F8"/>
    </row>
    <row r="9" spans="1:6" s="3" customFormat="1" ht="15" customHeight="1">
      <c r="A9" s="48" t="s">
        <v>338</v>
      </c>
      <c r="B9"/>
      <c r="C9">
        <f ca="1">YEAR(TODAY())-2</f>
        <v>2024</v>
      </c>
      <c r="D9">
        <v>900</v>
      </c>
      <c r="E9"/>
      <c r="F9"/>
    </row>
    <row r="10" spans="1:6" s="3" customFormat="1" ht="15" customHeight="1">
      <c r="A10" s="16" t="s">
        <v>118</v>
      </c>
      <c r="B10"/>
      <c r="C10">
        <f ca="1">YEAR(TODAY())-1</f>
        <v>2025</v>
      </c>
      <c r="D10">
        <v>1000</v>
      </c>
      <c r="E10"/>
      <c r="F10"/>
    </row>
    <row r="11" spans="1:6" s="3" customFormat="1" ht="15" customHeight="1">
      <c r="A11" s="16"/>
      <c r="B11"/>
      <c r="C11">
        <f ca="1">YEAR(TODAY())</f>
        <v>2026</v>
      </c>
      <c r="D11">
        <v>1200</v>
      </c>
      <c r="E11"/>
      <c r="F11"/>
    </row>
    <row r="12" spans="1:6" s="3" customFormat="1" ht="15" customHeight="1">
      <c r="A12" s="16"/>
      <c r="B12"/>
      <c r="C12"/>
      <c r="D12"/>
      <c r="E12"/>
      <c r="F12"/>
    </row>
    <row r="13" spans="1:6" s="3" customFormat="1" ht="15" customHeight="1">
      <c r="A13" s="16"/>
      <c r="B13"/>
      <c r="C13"/>
      <c r="D13"/>
      <c r="E13"/>
      <c r="F13"/>
    </row>
    <row r="14" spans="1:6" s="3" customFormat="1" ht="15" customHeight="1">
      <c r="A14" s="16"/>
      <c r="B14"/>
      <c r="C14"/>
      <c r="D14"/>
      <c r="E14"/>
      <c r="F14"/>
    </row>
    <row r="15" spans="1:6" s="3" customFormat="1" ht="15" customHeight="1">
      <c r="A15" s="16"/>
      <c r="B15"/>
      <c r="C15"/>
      <c r="D15"/>
      <c r="E15"/>
      <c r="F15"/>
    </row>
    <row r="16" spans="1:6" s="3" customFormat="1" ht="15" customHeight="1">
      <c r="A16" s="16"/>
      <c r="B16"/>
      <c r="C16"/>
      <c r="D16"/>
      <c r="E16"/>
      <c r="F16"/>
    </row>
    <row r="17" spans="1:6" s="3" customFormat="1" ht="15" customHeight="1">
      <c r="A17" s="16"/>
      <c r="B17"/>
      <c r="C17"/>
      <c r="D17"/>
      <c r="E17"/>
      <c r="F17"/>
    </row>
    <row r="18" spans="1:6" s="3" customFormat="1" ht="15" customHeight="1">
      <c r="A18" s="16"/>
      <c r="B18"/>
      <c r="C18"/>
      <c r="D18"/>
      <c r="E18"/>
      <c r="F18"/>
    </row>
    <row r="19" spans="1:6" s="3" customFormat="1" ht="15" customHeight="1">
      <c r="A19" s="16"/>
      <c r="B19"/>
      <c r="C19"/>
      <c r="D19"/>
      <c r="E19"/>
      <c r="F19"/>
    </row>
    <row r="20" spans="1:6" s="3" customFormat="1" ht="15" customHeight="1">
      <c r="A20" s="16"/>
      <c r="B20"/>
      <c r="C20"/>
      <c r="D20"/>
      <c r="E20"/>
      <c r="F20"/>
    </row>
    <row r="21" spans="1:6" s="3" customFormat="1" ht="15" customHeight="1">
      <c r="A21" s="16"/>
      <c r="B21"/>
      <c r="C21"/>
      <c r="D21"/>
      <c r="E21"/>
      <c r="F21"/>
    </row>
    <row r="22" spans="1:6" s="3" customFormat="1" ht="15" customHeight="1">
      <c r="A22" s="16"/>
      <c r="B22"/>
    </row>
    <row r="23" spans="1:6" s="3" customFormat="1" ht="15" customHeight="1">
      <c r="A23" s="16"/>
      <c r="B23"/>
    </row>
    <row r="24" spans="1:6" s="3" customFormat="1" ht="15" customHeight="1">
      <c r="A24" s="16"/>
      <c r="B24"/>
    </row>
    <row r="27" spans="1:6" ht="15" customHeight="1">
      <c r="A27" s="16" t="s">
        <v>216</v>
      </c>
    </row>
    <row r="28" spans="1:6" ht="15" customHeight="1">
      <c r="A28" s="16" t="s">
        <v>217</v>
      </c>
    </row>
    <row r="29" spans="1:6" ht="15" customHeight="1">
      <c r="A29" s="16" t="s">
        <v>218</v>
      </c>
    </row>
    <row r="30" spans="1:6" ht="15" customHeight="1">
      <c r="A30" s="16" t="s">
        <v>226</v>
      </c>
    </row>
    <row r="31" spans="1:6" ht="15" customHeight="1">
      <c r="A31" s="16" t="s">
        <v>227</v>
      </c>
    </row>
    <row r="32" spans="1:6" ht="15" customHeight="1">
      <c r="A32" s="16" t="s">
        <v>219</v>
      </c>
    </row>
    <row r="33" spans="1:1" ht="15" customHeight="1">
      <c r="A33" s="16" t="s">
        <v>350</v>
      </c>
    </row>
    <row r="34" spans="1:1" ht="15" customHeight="1">
      <c r="A34" s="16" t="s">
        <v>363</v>
      </c>
    </row>
    <row r="35" spans="1:1" ht="15" customHeight="1">
      <c r="A35" s="16" t="s">
        <v>220</v>
      </c>
    </row>
    <row r="52" spans="1:1" ht="15" customHeight="1">
      <c r="A52" s="16" t="s">
        <v>221</v>
      </c>
    </row>
    <row r="53" spans="1:1" ht="15" customHeight="1">
      <c r="A53" s="16" t="s">
        <v>225</v>
      </c>
    </row>
    <row r="54" spans="1:1" ht="15" customHeight="1">
      <c r="A54" s="16" t="s">
        <v>261</v>
      </c>
    </row>
    <row r="55" spans="1:1" ht="15" customHeight="1">
      <c r="A55" s="16" t="s">
        <v>326</v>
      </c>
    </row>
    <row r="56" spans="1:1" ht="15" customHeight="1">
      <c r="A56" s="48" t="s">
        <v>356</v>
      </c>
    </row>
    <row r="57" spans="1:1" ht="15" customHeight="1">
      <c r="A57" s="16" t="s">
        <v>215</v>
      </c>
    </row>
    <row r="67" spans="1:6" ht="15" customHeight="1">
      <c r="D67" s="9" t="s">
        <v>78</v>
      </c>
      <c r="E67" s="9" t="s">
        <v>85</v>
      </c>
      <c r="F67" s="9" t="s">
        <v>86</v>
      </c>
    </row>
    <row r="68" spans="1:6" ht="15" customHeight="1">
      <c r="A68" s="16" t="s">
        <v>113</v>
      </c>
      <c r="D68">
        <f ca="1">YEAR(TODAY())-5</f>
        <v>2021</v>
      </c>
      <c r="E68" s="5">
        <v>500</v>
      </c>
      <c r="F68" s="38">
        <v>5000</v>
      </c>
    </row>
    <row r="69" spans="1:6" ht="15" customHeight="1">
      <c r="A69" s="16" t="s">
        <v>222</v>
      </c>
      <c r="D69">
        <f ca="1">YEAR(TODAY())-4</f>
        <v>2022</v>
      </c>
      <c r="E69">
        <v>800</v>
      </c>
      <c r="F69" s="37">
        <v>11200</v>
      </c>
    </row>
    <row r="70" spans="1:6" ht="15" customHeight="1">
      <c r="A70" s="16" t="s">
        <v>223</v>
      </c>
      <c r="D70">
        <f ca="1">YEAR(TODAY())-3</f>
        <v>2023</v>
      </c>
      <c r="E70" s="5">
        <v>1000</v>
      </c>
      <c r="F70" s="38">
        <v>30000</v>
      </c>
    </row>
    <row r="71" spans="1:6" ht="15" customHeight="1">
      <c r="A71" s="16" t="s">
        <v>224</v>
      </c>
      <c r="D71">
        <f ca="1">YEAR(TODAY())-2</f>
        <v>2024</v>
      </c>
      <c r="E71">
        <v>900</v>
      </c>
      <c r="F71" s="37">
        <v>25000</v>
      </c>
    </row>
    <row r="72" spans="1:6" ht="15" customHeight="1">
      <c r="A72" s="16" t="s">
        <v>112</v>
      </c>
      <c r="D72">
        <f ca="1">YEAR(TODAY())-1</f>
        <v>2025</v>
      </c>
      <c r="E72" s="5">
        <v>1000</v>
      </c>
      <c r="F72" s="38">
        <v>5000</v>
      </c>
    </row>
    <row r="73" spans="1:6" ht="15" customHeight="1">
      <c r="D73">
        <f ca="1">YEAR(TODAY())</f>
        <v>2026</v>
      </c>
      <c r="E73">
        <v>1200</v>
      </c>
      <c r="F73" s="37">
        <v>8000</v>
      </c>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zoomScaleNormal="100" zoomScalePageLayoutView="125" workbookViewId="0"/>
  </sheetViews>
  <sheetFormatPr defaultColWidth="8.85546875" defaultRowHeight="15" customHeight="1"/>
  <cols>
    <col min="1" max="1" width="12.7109375" style="16" customWidth="1"/>
    <col min="2" max="2" width="82.85546875" customWidth="1"/>
    <col min="3" max="3" width="12.42578125" customWidth="1"/>
    <col min="4" max="4" width="14" customWidth="1"/>
    <col min="5" max="5" width="13.140625" bestFit="1" customWidth="1"/>
    <col min="6" max="6" width="14.85546875" bestFit="1" customWidth="1"/>
  </cols>
  <sheetData>
    <row r="1" spans="1:6" ht="60" customHeight="1">
      <c r="A1" s="16" t="s">
        <v>135</v>
      </c>
    </row>
    <row r="2" spans="1:6" ht="15" customHeight="1">
      <c r="A2" s="16" t="s">
        <v>327</v>
      </c>
    </row>
    <row r="3" spans="1:6" ht="15" customHeight="1">
      <c r="A3" s="16" t="s">
        <v>262</v>
      </c>
      <c r="C3" t="s">
        <v>78</v>
      </c>
      <c r="D3" t="s">
        <v>79</v>
      </c>
      <c r="E3" t="s">
        <v>27</v>
      </c>
      <c r="F3" t="s">
        <v>1</v>
      </c>
    </row>
    <row r="4" spans="1:6" ht="15" customHeight="1">
      <c r="A4" s="16" t="s">
        <v>228</v>
      </c>
      <c r="C4" s="41">
        <f ca="1">TODAY()-57</f>
        <v>46167</v>
      </c>
      <c r="D4" t="s">
        <v>80</v>
      </c>
      <c r="E4" t="s">
        <v>81</v>
      </c>
      <c r="F4" s="39">
        <v>1400</v>
      </c>
    </row>
    <row r="5" spans="1:6" s="3" customFormat="1" ht="15" customHeight="1">
      <c r="A5" s="16" t="s">
        <v>372</v>
      </c>
      <c r="B5"/>
      <c r="C5" s="41">
        <f ca="1">TODAY()-52</f>
        <v>46172</v>
      </c>
      <c r="D5" t="s">
        <v>71</v>
      </c>
      <c r="E5" t="s">
        <v>82</v>
      </c>
      <c r="F5" s="39">
        <v>1010</v>
      </c>
    </row>
    <row r="6" spans="1:6" s="3" customFormat="1" ht="15" customHeight="1">
      <c r="A6" s="16" t="s">
        <v>373</v>
      </c>
      <c r="B6"/>
      <c r="C6" s="41">
        <f ca="1">TODAY()-35</f>
        <v>46189</v>
      </c>
      <c r="D6" t="s">
        <v>80</v>
      </c>
      <c r="E6" t="s">
        <v>81</v>
      </c>
      <c r="F6" s="39">
        <v>750</v>
      </c>
    </row>
    <row r="7" spans="1:6" s="3" customFormat="1" ht="15" customHeight="1">
      <c r="A7" s="16" t="s">
        <v>375</v>
      </c>
      <c r="B7"/>
      <c r="C7" s="41">
        <f ca="1">TODAY()-31</f>
        <v>46193</v>
      </c>
      <c r="D7" t="s">
        <v>71</v>
      </c>
      <c r="E7" t="s">
        <v>83</v>
      </c>
      <c r="F7" s="39">
        <v>510</v>
      </c>
    </row>
    <row r="8" spans="1:6" s="3" customFormat="1" ht="15" customHeight="1">
      <c r="A8" s="16" t="s">
        <v>118</v>
      </c>
      <c r="B8"/>
      <c r="C8" s="41">
        <f ca="1">TODAY()-11</f>
        <v>46213</v>
      </c>
      <c r="D8" t="s">
        <v>66</v>
      </c>
      <c r="E8" t="s">
        <v>83</v>
      </c>
      <c r="F8" s="39">
        <v>1600</v>
      </c>
    </row>
    <row r="9" spans="1:6" s="3" customFormat="1" ht="15" customHeight="1">
      <c r="A9" s="16"/>
      <c r="B9"/>
      <c r="C9" s="41">
        <f ca="1">TODAY()</f>
        <v>46224</v>
      </c>
      <c r="D9" t="s">
        <v>74</v>
      </c>
      <c r="E9" t="s">
        <v>82</v>
      </c>
      <c r="F9" s="39">
        <v>680</v>
      </c>
    </row>
    <row r="10" spans="1:6" s="3" customFormat="1" ht="15" customHeight="1">
      <c r="A10" s="16"/>
      <c r="B10"/>
      <c r="C10"/>
      <c r="D10"/>
      <c r="E10"/>
      <c r="F10"/>
    </row>
    <row r="11" spans="1:6" s="3" customFormat="1" ht="15" customHeight="1">
      <c r="A11" s="16"/>
      <c r="B11"/>
      <c r="E11" s="12" t="s">
        <v>76</v>
      </c>
      <c r="F11" t="s">
        <v>87</v>
      </c>
    </row>
    <row r="12" spans="1:6" s="3" customFormat="1" ht="15" customHeight="1">
      <c r="A12" s="16"/>
      <c r="B12"/>
      <c r="E12" s="3" t="s">
        <v>81</v>
      </c>
      <c r="F12" s="40">
        <v>2150</v>
      </c>
    </row>
    <row r="13" spans="1:6" s="3" customFormat="1" ht="15" customHeight="1">
      <c r="A13" s="16"/>
      <c r="B13"/>
      <c r="E13" s="3" t="s">
        <v>83</v>
      </c>
      <c r="F13" s="40">
        <v>2110</v>
      </c>
    </row>
    <row r="14" spans="1:6" s="3" customFormat="1" ht="15" customHeight="1">
      <c r="A14" s="16"/>
      <c r="B14"/>
      <c r="E14" s="3" t="s">
        <v>82</v>
      </c>
      <c r="F14" s="40">
        <v>1690</v>
      </c>
    </row>
    <row r="15" spans="1:6" s="3" customFormat="1" ht="15" customHeight="1">
      <c r="A15" s="16"/>
      <c r="B15"/>
      <c r="E15" s="3" t="s">
        <v>77</v>
      </c>
      <c r="F15" s="40">
        <v>5950</v>
      </c>
    </row>
    <row r="16" spans="1:6" s="3" customFormat="1" ht="15" customHeight="1">
      <c r="A16" s="16"/>
      <c r="B16"/>
      <c r="C16"/>
      <c r="D16"/>
      <c r="E16"/>
      <c r="F16"/>
    </row>
    <row r="17" spans="1:6" s="3" customFormat="1" ht="15" customHeight="1">
      <c r="A17" s="16"/>
      <c r="B17"/>
      <c r="C17"/>
      <c r="D17"/>
      <c r="E17"/>
      <c r="F17"/>
    </row>
    <row r="18" spans="1:6" s="3" customFormat="1" ht="15" customHeight="1">
      <c r="A18" s="16"/>
      <c r="B18"/>
      <c r="C18"/>
      <c r="D18"/>
      <c r="E18"/>
      <c r="F18"/>
    </row>
    <row r="19" spans="1:6" s="3" customFormat="1" ht="15" customHeight="1">
      <c r="A19" s="16"/>
      <c r="B19"/>
      <c r="C19"/>
      <c r="D19"/>
      <c r="E19"/>
      <c r="F19"/>
    </row>
    <row r="20" spans="1:6" s="3" customFormat="1" ht="15" customHeight="1">
      <c r="A20" s="16"/>
      <c r="B20"/>
      <c r="C20"/>
      <c r="D20"/>
      <c r="E20"/>
      <c r="F20"/>
    </row>
    <row r="21" spans="1:6" s="3" customFormat="1" ht="15" customHeight="1">
      <c r="A21" s="16"/>
      <c r="B21"/>
      <c r="C21"/>
      <c r="D21"/>
      <c r="E21" t="s">
        <v>374</v>
      </c>
      <c r="F21"/>
    </row>
    <row r="22" spans="1:6" s="3" customFormat="1" ht="15" customHeight="1">
      <c r="A22" s="16"/>
      <c r="B22"/>
      <c r="C22"/>
      <c r="D22"/>
      <c r="E22"/>
    </row>
    <row r="23" spans="1:6" s="3" customFormat="1" ht="15" customHeight="1">
      <c r="A23" s="16"/>
      <c r="B23"/>
      <c r="C23"/>
      <c r="D23"/>
      <c r="E23"/>
    </row>
    <row r="24" spans="1:6" s="3" customFormat="1" ht="15" customHeight="1">
      <c r="A24" s="16"/>
      <c r="B24"/>
      <c r="C24"/>
      <c r="D24"/>
      <c r="E24"/>
    </row>
    <row r="27" spans="1:6" ht="15" customHeight="1">
      <c r="A27" s="16" t="s">
        <v>229</v>
      </c>
    </row>
    <row r="28" spans="1:6" ht="15" customHeight="1">
      <c r="A28" s="16" t="s">
        <v>230</v>
      </c>
    </row>
    <row r="29" spans="1:6" ht="15" customHeight="1">
      <c r="A29" s="16" t="s">
        <v>328</v>
      </c>
    </row>
    <row r="30" spans="1:6" ht="15" customHeight="1">
      <c r="A30" s="16" t="s">
        <v>355</v>
      </c>
    </row>
    <row r="31" spans="1:6" ht="15" customHeight="1">
      <c r="A31" s="16" t="s">
        <v>339</v>
      </c>
    </row>
    <row r="32" spans="1:6" ht="15" customHeight="1">
      <c r="A32" s="16" t="s">
        <v>357</v>
      </c>
    </row>
    <row r="33" spans="1:6" ht="15" customHeight="1">
      <c r="A33" s="48" t="s">
        <v>358</v>
      </c>
    </row>
    <row r="34" spans="1:6" ht="15" customHeight="1">
      <c r="A34" s="48" t="s">
        <v>359</v>
      </c>
      <c r="C34" t="s">
        <v>78</v>
      </c>
      <c r="D34" t="s">
        <v>79</v>
      </c>
      <c r="E34" t="s">
        <v>27</v>
      </c>
      <c r="F34" t="s">
        <v>1</v>
      </c>
    </row>
    <row r="35" spans="1:6" ht="15" customHeight="1">
      <c r="A35" s="16" t="s">
        <v>360</v>
      </c>
      <c r="C35" s="41">
        <f ca="1">TODAY()-57</f>
        <v>46167</v>
      </c>
      <c r="D35" t="s">
        <v>80</v>
      </c>
      <c r="E35" t="s">
        <v>81</v>
      </c>
      <c r="F35" s="39">
        <v>1400</v>
      </c>
    </row>
    <row r="36" spans="1:6" ht="15" customHeight="1">
      <c r="A36" s="16" t="s">
        <v>231</v>
      </c>
      <c r="C36" s="41">
        <f ca="1">TODAY()-52</f>
        <v>46172</v>
      </c>
      <c r="D36" t="s">
        <v>71</v>
      </c>
      <c r="E36" t="s">
        <v>82</v>
      </c>
      <c r="F36" s="39">
        <v>1010</v>
      </c>
    </row>
    <row r="37" spans="1:6" ht="15" customHeight="1">
      <c r="C37" s="41">
        <f ca="1">TODAY()-35</f>
        <v>46189</v>
      </c>
      <c r="D37" t="s">
        <v>80</v>
      </c>
      <c r="E37" t="s">
        <v>81</v>
      </c>
      <c r="F37" s="39">
        <v>750</v>
      </c>
    </row>
    <row r="38" spans="1:6" ht="15" customHeight="1">
      <c r="C38" s="41">
        <f ca="1">TODAY()-31</f>
        <v>46193</v>
      </c>
      <c r="D38" t="s">
        <v>71</v>
      </c>
      <c r="E38" t="s">
        <v>83</v>
      </c>
      <c r="F38" s="39">
        <v>510</v>
      </c>
    </row>
    <row r="39" spans="1:6" ht="15" customHeight="1">
      <c r="C39" s="41">
        <f ca="1">TODAY()-11</f>
        <v>46213</v>
      </c>
      <c r="D39" t="s">
        <v>66</v>
      </c>
      <c r="E39" t="s">
        <v>83</v>
      </c>
      <c r="F39" s="39">
        <v>1600</v>
      </c>
    </row>
    <row r="40" spans="1:6" ht="15" customHeight="1">
      <c r="C40" s="41">
        <f ca="1">TODAY()</f>
        <v>46224</v>
      </c>
      <c r="D40" t="s">
        <v>74</v>
      </c>
      <c r="E40" t="s">
        <v>82</v>
      </c>
      <c r="F40" s="39">
        <v>680</v>
      </c>
    </row>
    <row r="58" spans="1:1" ht="15" customHeight="1">
      <c r="A58" s="16" t="s">
        <v>113</v>
      </c>
    </row>
    <row r="59" spans="1:1" ht="15" customHeight="1">
      <c r="A59" s="16" t="s">
        <v>232</v>
      </c>
    </row>
    <row r="60" spans="1:1" ht="15" customHeight="1">
      <c r="A60" s="16" t="s">
        <v>233</v>
      </c>
    </row>
    <row r="61" spans="1:1" ht="15" customHeight="1">
      <c r="A61" s="16" t="s">
        <v>112</v>
      </c>
    </row>
  </sheetData>
  <hyperlinks>
    <hyperlink ref="A60" r:id="rId2" tooltip="Select to learn about using the Field List to arrange fields in a PivotTable from the web" xr:uid="{00000000-0004-0000-0A00-000000000000}"/>
    <hyperlink ref="A59" r:id="rId3" tooltip="Select to learn creating a PivotTable to analyze worksheet data from the web" xr:uid="{00000000-0004-0000-0A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zoomScaleNormal="100" workbookViewId="0"/>
  </sheetViews>
  <sheetFormatPr defaultColWidth="8.85546875" defaultRowHeight="15" customHeight="1"/>
  <cols>
    <col min="1" max="1" width="8.85546875" style="16"/>
    <col min="2" max="2" width="95.140625" customWidth="1"/>
  </cols>
  <sheetData>
    <row r="1" spans="1:2" ht="60" customHeight="1">
      <c r="A1" s="16" t="s">
        <v>121</v>
      </c>
    </row>
    <row r="2" spans="1:2" s="13" customFormat="1" ht="15" customHeight="1">
      <c r="A2" s="16" t="s">
        <v>263</v>
      </c>
      <c r="B2"/>
    </row>
    <row r="3" spans="1:2" s="13" customFormat="1" ht="15" customHeight="1">
      <c r="A3" s="16" t="s">
        <v>330</v>
      </c>
      <c r="B3"/>
    </row>
    <row r="4" spans="1:2" s="14" customFormat="1" ht="15" customHeight="1">
      <c r="A4" s="16" t="s">
        <v>348</v>
      </c>
      <c r="B4"/>
    </row>
    <row r="5" spans="1:2" s="15" customFormat="1" ht="15" customHeight="1">
      <c r="A5" s="16" t="s">
        <v>349</v>
      </c>
      <c r="B5"/>
    </row>
    <row r="6" spans="1:2" s="15" customFormat="1" ht="15" customHeight="1">
      <c r="A6" s="48" t="s">
        <v>351</v>
      </c>
      <c r="B6"/>
    </row>
    <row r="7" spans="1:2" ht="15" customHeight="1">
      <c r="A7"/>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2BD9D9-5391-4370-B039-343825009DD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E8AB08A-59C1-444E-AE1E-1DBAE428CFBC}">
  <ds:schemaRefs>
    <ds:schemaRef ds:uri="http://schemas.microsoft.com/sharepoint/v3/contenttype/forms"/>
  </ds:schemaRefs>
</ds:datastoreItem>
</file>

<file path=customXml/itemProps3.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2026-07-21T09:29:10Z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